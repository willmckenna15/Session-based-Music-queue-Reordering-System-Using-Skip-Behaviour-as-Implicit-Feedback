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codeName="ThisWorkbook"/>
  <mc:AlternateContent xmlns:mc="http://schemas.openxmlformats.org/markup-compatibility/2006">
    <mc:Choice Requires="x15">
      <x15ac:absPath xmlns:x15ac="http://schemas.microsoft.com/office/spreadsheetml/2010/11/ac" url="/Users/will/Desktop/Project/Info/"/>
    </mc:Choice>
  </mc:AlternateContent>
  <xr:revisionPtr revIDLastSave="0" documentId="13_ncr:1_{D5978350-0AA0-F447-90BB-32274EAFDDFE}" xr6:coauthVersionLast="47" xr6:coauthVersionMax="47" xr10:uidLastSave="{00000000-0000-0000-0000-000000000000}"/>
  <bookViews>
    <workbookView xWindow="0" yWindow="760" windowWidth="30240" windowHeight="18880" xr2:uid="{00000000-000D-0000-FFFF-FFFF00000000}"/>
  </bookViews>
  <sheets>
    <sheet name="Project schedule" sheetId="11" r:id="rId1"/>
  </sheets>
  <definedNames>
    <definedName name="Display_Week">'Project schedule'!$P$2</definedName>
    <definedName name="_xlnm.Print_Titles" localSheetId="0">'Project schedule'!$4:$6</definedName>
    <definedName name="Project_Start">'Project schedule'!$P$1</definedName>
    <definedName name="task_end" localSheetId="0">'Project schedule'!$E1</definedName>
    <definedName name="task_progress" localSheetId="0">'Project schedule'!$C1</definedName>
    <definedName name="task_start" localSheetId="0">'Project schedule'!$D1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K42" i="11" l="1"/>
  <c r="EL42" i="11"/>
  <c r="EK43" i="11"/>
  <c r="EL43" i="11"/>
  <c r="EK44" i="11"/>
  <c r="EL44" i="11"/>
  <c r="EK45" i="11"/>
  <c r="EL45" i="11"/>
  <c r="EK46" i="11"/>
  <c r="EL46" i="11"/>
  <c r="EK47" i="11"/>
  <c r="EL47" i="11"/>
  <c r="EK48" i="11"/>
  <c r="EL48" i="11"/>
  <c r="EK49" i="11"/>
  <c r="EL49" i="11"/>
  <c r="EK50" i="11"/>
  <c r="EL50" i="11"/>
  <c r="EK51" i="11"/>
  <c r="EL51" i="11"/>
  <c r="EK52" i="11"/>
  <c r="EL52" i="11"/>
  <c r="EL41" i="11"/>
  <c r="EK41" i="11"/>
  <c r="EK20" i="11"/>
  <c r="EL20" i="11"/>
  <c r="EK21" i="11"/>
  <c r="EL21" i="11"/>
  <c r="EK22" i="11"/>
  <c r="EL22" i="11"/>
  <c r="EK23" i="11"/>
  <c r="EL23" i="11"/>
  <c r="EK24" i="11"/>
  <c r="EL24" i="11"/>
  <c r="EK25" i="11"/>
  <c r="EL25" i="11"/>
  <c r="EK26" i="11"/>
  <c r="EL26" i="11"/>
  <c r="EK27" i="11"/>
  <c r="EL27" i="11"/>
  <c r="EK28" i="11"/>
  <c r="EL28" i="11"/>
  <c r="EK29" i="11"/>
  <c r="EL29" i="11"/>
  <c r="EK30" i="11"/>
  <c r="EL30" i="11"/>
  <c r="EK31" i="11"/>
  <c r="EL31" i="11"/>
  <c r="EK32" i="11"/>
  <c r="EL32" i="11"/>
  <c r="EK33" i="11"/>
  <c r="EL33" i="11"/>
  <c r="EK34" i="11"/>
  <c r="EL34" i="11"/>
  <c r="EK35" i="11"/>
  <c r="EL35" i="11"/>
  <c r="EK36" i="11"/>
  <c r="EL36" i="11"/>
  <c r="EK37" i="11"/>
  <c r="EL37" i="11"/>
  <c r="EK38" i="11"/>
  <c r="EL38" i="11"/>
  <c r="EK39" i="11"/>
  <c r="EL39" i="11"/>
  <c r="EK40" i="11"/>
  <c r="EL40" i="11"/>
  <c r="EL19" i="11"/>
  <c r="EK19" i="11"/>
  <c r="EK18" i="11"/>
  <c r="EK15" i="11"/>
  <c r="EL15" i="11"/>
  <c r="EK16" i="11"/>
  <c r="EL16" i="11"/>
  <c r="EK17" i="11"/>
  <c r="EL17" i="11"/>
  <c r="EL18" i="11"/>
  <c r="EL14" i="11"/>
  <c r="EK14" i="11"/>
  <c r="EK11" i="11"/>
  <c r="EL11" i="11"/>
  <c r="EK12" i="11"/>
  <c r="EL12" i="11"/>
  <c r="EK13" i="11"/>
  <c r="EL13" i="11"/>
  <c r="EL10" i="11"/>
  <c r="EK10" i="11"/>
  <c r="G45" i="11"/>
  <c r="G40" i="11"/>
  <c r="G34" i="11"/>
  <c r="G29" i="11"/>
  <c r="P1" i="11"/>
  <c r="G7" i="11"/>
  <c r="D9" i="11" l="1"/>
  <c r="G46" i="11"/>
  <c r="G16" i="11"/>
  <c r="G47" i="11" l="1"/>
  <c r="G41" i="11"/>
  <c r="H5" i="11"/>
  <c r="G24" i="11"/>
  <c r="G21" i="11"/>
  <c r="G17" i="11"/>
  <c r="G8" i="11"/>
  <c r="G22" i="11" l="1"/>
  <c r="G23" i="11"/>
  <c r="G9" i="11"/>
  <c r="H6" i="11"/>
  <c r="G43" i="11" l="1"/>
  <c r="G42" i="11"/>
  <c r="G28" i="11"/>
  <c r="G25" i="11"/>
  <c r="G11" i="11"/>
  <c r="G18" i="11"/>
  <c r="I5" i="11"/>
  <c r="J5" i="11" s="1"/>
  <c r="K5" i="11" s="1"/>
  <c r="L5" i="11" s="1"/>
  <c r="M5" i="11" s="1"/>
  <c r="N5" i="11" s="1"/>
  <c r="O5" i="11" s="1"/>
  <c r="G14" i="11" l="1"/>
  <c r="G26" i="11"/>
  <c r="G19" i="11"/>
  <c r="G12" i="11"/>
  <c r="P5" i="11"/>
  <c r="Q5" i="11" s="1"/>
  <c r="R5" i="11" s="1"/>
  <c r="S5" i="11" s="1"/>
  <c r="T5" i="11" s="1"/>
  <c r="U5" i="11" s="1"/>
  <c r="V5" i="11" s="1"/>
  <c r="I6" i="11"/>
  <c r="G27" i="11" l="1"/>
  <c r="G15" i="11"/>
  <c r="W5" i="11"/>
  <c r="X5" i="11" s="1"/>
  <c r="Y5" i="11" s="1"/>
  <c r="Z5" i="11" s="1"/>
  <c r="AA5" i="11" s="1"/>
  <c r="AB5" i="11" s="1"/>
  <c r="AC5" i="11" s="1"/>
  <c r="J6" i="11"/>
  <c r="G30" i="11" l="1"/>
  <c r="AD5" i="11"/>
  <c r="AE5" i="11" s="1"/>
  <c r="AF5" i="11" s="1"/>
  <c r="AG5" i="11" s="1"/>
  <c r="AH5" i="11" s="1"/>
  <c r="AI5" i="11" s="1"/>
  <c r="K6" i="11"/>
  <c r="G33" i="11" l="1"/>
  <c r="AJ5" i="11"/>
  <c r="AK5" i="11" s="1"/>
  <c r="AL5" i="11" s="1"/>
  <c r="AM5" i="11" s="1"/>
  <c r="AN5" i="11" s="1"/>
  <c r="AO5" i="11" s="1"/>
  <c r="AP5" i="11" s="1"/>
  <c r="L6" i="11"/>
  <c r="G38" i="11" l="1"/>
  <c r="G31" i="11"/>
  <c r="AQ5" i="11"/>
  <c r="AR5" i="11" s="1"/>
  <c r="M6" i="11"/>
  <c r="G39" i="11" l="1"/>
  <c r="G32" i="11"/>
  <c r="AS5" i="11"/>
  <c r="AR6" i="11"/>
  <c r="N6" i="11"/>
  <c r="AT5" i="11" l="1"/>
  <c r="AS6" i="11"/>
  <c r="G35" i="11" l="1"/>
  <c r="AU5" i="11"/>
  <c r="AT6" i="11"/>
  <c r="O6" i="11"/>
  <c r="P6" i="11"/>
  <c r="AV5" i="11" l="1"/>
  <c r="AU6" i="11"/>
  <c r="Q6" i="11"/>
  <c r="G36" i="11" l="1"/>
  <c r="AW5" i="11"/>
  <c r="AX5" i="11" s="1"/>
  <c r="AV6" i="11"/>
  <c r="R6" i="11"/>
  <c r="G37" i="11" l="1"/>
  <c r="AX6" i="11"/>
  <c r="AY5" i="11"/>
  <c r="AW6" i="11"/>
  <c r="S6" i="11"/>
  <c r="AZ5" i="11" l="1"/>
  <c r="AY6" i="11"/>
  <c r="T6" i="11"/>
  <c r="AZ6" i="11" l="1"/>
  <c r="BA5" i="11"/>
  <c r="U6" i="11"/>
  <c r="BA6" i="11" l="1"/>
  <c r="BB5" i="11"/>
  <c r="V6" i="11"/>
  <c r="BB6" i="11" l="1"/>
  <c r="BC5" i="11"/>
  <c r="W6" i="11"/>
  <c r="BD5" i="11" l="1"/>
  <c r="BC6" i="11"/>
  <c r="X6" i="11"/>
  <c r="BD6" i="11" l="1"/>
  <c r="BE5" i="11"/>
  <c r="Y6" i="11"/>
  <c r="BE6" i="11" l="1"/>
  <c r="BF5" i="11"/>
  <c r="Z6" i="11"/>
  <c r="BF6" i="11" l="1"/>
  <c r="BG5" i="11"/>
  <c r="AA6" i="11"/>
  <c r="BH5" i="11" l="1"/>
  <c r="BG6" i="11"/>
  <c r="AB6" i="11"/>
  <c r="BI5" i="11" l="1"/>
  <c r="BH6" i="11"/>
  <c r="AC6" i="11"/>
  <c r="BJ5" i="11" l="1"/>
  <c r="BI6" i="11"/>
  <c r="AD6" i="11"/>
  <c r="BK5" i="11" l="1"/>
  <c r="BL5" i="11" s="1"/>
  <c r="BJ6" i="11"/>
  <c r="AE6" i="11"/>
  <c r="BM5" i="11" l="1"/>
  <c r="BL6" i="11"/>
  <c r="BK6" i="11"/>
  <c r="AF6" i="11"/>
  <c r="BM6" i="11" l="1"/>
  <c r="BN5" i="11"/>
  <c r="AG6" i="11"/>
  <c r="BN6" i="11" l="1"/>
  <c r="BO5" i="11"/>
  <c r="AH6" i="11"/>
  <c r="BO6" i="11" l="1"/>
  <c r="BP5" i="11"/>
  <c r="AI6" i="11"/>
  <c r="BQ5" i="11" l="1"/>
  <c r="BP6" i="11"/>
  <c r="AJ6" i="11"/>
  <c r="BQ6" i="11" l="1"/>
  <c r="BR5" i="11"/>
  <c r="AK6" i="11"/>
  <c r="BR6" i="11" l="1"/>
  <c r="BS5" i="11"/>
  <c r="AL6" i="11"/>
  <c r="BS6" i="11" l="1"/>
  <c r="BT5" i="11"/>
  <c r="AM6" i="11"/>
  <c r="BU5" i="11" l="1"/>
  <c r="BT6" i="11"/>
  <c r="AN6" i="11"/>
  <c r="BV5" i="11" l="1"/>
  <c r="BU6" i="11"/>
  <c r="AO6" i="11"/>
  <c r="BW5" i="11" l="1"/>
  <c r="BV6" i="11"/>
  <c r="AP6" i="11"/>
  <c r="BX5" i="11" l="1"/>
  <c r="BW6" i="11"/>
  <c r="AQ6" i="11"/>
  <c r="BY5" i="11" l="1"/>
  <c r="BX6" i="11"/>
  <c r="BZ5" i="11" l="1"/>
  <c r="BY6" i="11"/>
  <c r="BZ6" i="11" l="1"/>
  <c r="CA5" i="11"/>
  <c r="CB5" i="11" l="1"/>
  <c r="CA6" i="11"/>
  <c r="CC5" i="11" l="1"/>
  <c r="CB6" i="11"/>
  <c r="CD5" i="11" l="1"/>
  <c r="CC6" i="11"/>
  <c r="CE5" i="11" l="1"/>
  <c r="CD6" i="11"/>
  <c r="CF5" i="11" l="1"/>
  <c r="CE6" i="11"/>
  <c r="CG5" i="11" l="1"/>
  <c r="CF6" i="11"/>
  <c r="CG6" i="11" l="1"/>
  <c r="CH5" i="11"/>
  <c r="CI5" i="11" l="1"/>
  <c r="CH6" i="11"/>
  <c r="CJ5" i="11" l="1"/>
  <c r="CI6" i="11"/>
  <c r="CK5" i="11" l="1"/>
  <c r="CJ6" i="11"/>
  <c r="CL5" i="11" l="1"/>
  <c r="CK6" i="11"/>
  <c r="CM5" i="11" l="1"/>
  <c r="CL6" i="11"/>
  <c r="CN5" i="11" l="1"/>
  <c r="CM6" i="11"/>
  <c r="CN6" i="11" l="1"/>
  <c r="CO5" i="11"/>
  <c r="CP5" i="11" l="1"/>
  <c r="CO6" i="11"/>
  <c r="CQ5" i="11" l="1"/>
  <c r="CP6" i="11"/>
  <c r="CR5" i="11" l="1"/>
  <c r="CQ6" i="11"/>
  <c r="CS5" i="11" l="1"/>
  <c r="CR6" i="11"/>
  <c r="CT5" i="11" l="1"/>
  <c r="CS6" i="11"/>
  <c r="CU5" i="11" l="1"/>
  <c r="CT6" i="11"/>
  <c r="CU6" i="11" l="1"/>
  <c r="CV5" i="11"/>
  <c r="CV6" i="11" l="1"/>
  <c r="CW5" i="11"/>
  <c r="CX5" i="11" l="1"/>
  <c r="CW6" i="11"/>
  <c r="CX6" i="11" l="1"/>
  <c r="CY5" i="11"/>
  <c r="CZ5" i="11" l="1"/>
  <c r="CY6" i="11"/>
  <c r="DA5" i="11" l="1"/>
  <c r="CZ6" i="11"/>
  <c r="DB5" i="11" l="1"/>
  <c r="DA6" i="11"/>
  <c r="DC5" i="11" l="1"/>
  <c r="DB6" i="11"/>
  <c r="DD5" i="11" l="1"/>
  <c r="DC6" i="11"/>
  <c r="DE5" i="11" l="1"/>
  <c r="DD6" i="11"/>
  <c r="DF5" i="11" l="1"/>
  <c r="DE6" i="11"/>
  <c r="DG5" i="11" l="1"/>
  <c r="DF6" i="11"/>
  <c r="DH5" i="11" l="1"/>
  <c r="DG6" i="11"/>
  <c r="DH6" i="11" l="1"/>
  <c r="DI5" i="11"/>
  <c r="DJ5" i="11" l="1"/>
  <c r="DI6" i="11"/>
  <c r="DJ6" i="11" l="1"/>
  <c r="DK5" i="11"/>
  <c r="DK6" i="11" l="1"/>
  <c r="DL5" i="11"/>
  <c r="DM5" i="11" l="1"/>
  <c r="DL6" i="11"/>
  <c r="DM6" i="11" l="1"/>
  <c r="DN5" i="11"/>
  <c r="DO5" i="11" l="1"/>
  <c r="DN6" i="11"/>
  <c r="DP5" i="11" l="1"/>
  <c r="DO6" i="11"/>
  <c r="DQ5" i="11" l="1"/>
  <c r="DP6" i="11"/>
  <c r="DR5" i="11" l="1"/>
  <c r="DQ6" i="11"/>
  <c r="DR6" i="11" l="1"/>
  <c r="DS5" i="11"/>
  <c r="DT5" i="11" l="1"/>
  <c r="DS6" i="11"/>
  <c r="DU5" i="11" l="1"/>
  <c r="DT6" i="11"/>
  <c r="DU6" i="11" l="1"/>
  <c r="DV5" i="11"/>
  <c r="DW5" i="11" l="1"/>
  <c r="DV6" i="11"/>
  <c r="DW6" i="11" l="1"/>
  <c r="DX5" i="11"/>
  <c r="DX6" i="11" l="1"/>
  <c r="DY5" i="11"/>
  <c r="DZ5" i="11" l="1"/>
  <c r="DY6" i="11"/>
  <c r="DZ6" i="11" l="1"/>
  <c r="EA5" i="11"/>
  <c r="EB5" i="11" l="1"/>
  <c r="EA6" i="11"/>
  <c r="EC5" i="11" l="1"/>
  <c r="ED5" i="11" s="1"/>
  <c r="EB6" i="11"/>
  <c r="EE5" i="11" l="1"/>
  <c r="ED6" i="11"/>
  <c r="EC6" i="11"/>
  <c r="EF5" i="11" l="1"/>
  <c r="EE6" i="11"/>
  <c r="EG5" i="11" l="1"/>
  <c r="EF6" i="11"/>
  <c r="EH5" i="11" l="1"/>
  <c r="EG6" i="11"/>
  <c r="EI5" i="11" l="1"/>
  <c r="EH6" i="11"/>
  <c r="EJ5" i="11" l="1"/>
  <c r="EJ6" i="11" s="1"/>
  <c r="EI6" i="11"/>
</calcChain>
</file>

<file path=xl/sharedStrings.xml><?xml version="1.0" encoding="utf-8"?>
<sst xmlns="http://schemas.openxmlformats.org/spreadsheetml/2006/main" count="60" uniqueCount="59">
  <si>
    <t>PROGRESS</t>
  </si>
  <si>
    <t>START</t>
  </si>
  <si>
    <t>END</t>
  </si>
  <si>
    <t>TASK</t>
  </si>
  <si>
    <t xml:space="preserve">Do not delete this row. This row is hidden to preserve a formula that is used to highlight the current day within the project schedule. </t>
  </si>
  <si>
    <t>Project start:</t>
  </si>
  <si>
    <t>Display week:</t>
  </si>
  <si>
    <t>Evaluation</t>
  </si>
  <si>
    <t>Data-Collection &amp; Preprocessing</t>
  </si>
  <si>
    <t>Reach out to volunteers</t>
  </si>
  <si>
    <t>Data Cleaning &amp; Session Construction</t>
  </si>
  <si>
    <t>Merge datasets</t>
  </si>
  <si>
    <t>Collect data from volunteers/collate consent forms</t>
  </si>
  <si>
    <t>Normalisation of features</t>
  </si>
  <si>
    <t>Development &amp; implementation on filtering of the session datasets</t>
  </si>
  <si>
    <t>Logistic Regression</t>
  </si>
  <si>
    <t>Extract and inspect feature coefficients</t>
  </si>
  <si>
    <t>Random Forest</t>
  </si>
  <si>
    <t>Split dataset into training, validation &amp; testing segments</t>
  </si>
  <si>
    <t xml:space="preserve">Definition of feature vectors </t>
  </si>
  <si>
    <t>Training &amp; Evaluation on their respective sets</t>
  </si>
  <si>
    <t>Extract feature importances and compare with feature coefficients from Logistic Regression</t>
  </si>
  <si>
    <t>Recurrent Neural Network</t>
  </si>
  <si>
    <t>Implement recurrent hidden state &amp; training loop</t>
  </si>
  <si>
    <t>Training &amp; Vaildation on their respective sets</t>
  </si>
  <si>
    <t>Debug &amp; sense-check outputs</t>
  </si>
  <si>
    <t>Define inputs for both RNN AND SASRec</t>
  </si>
  <si>
    <t>SASRec</t>
  </si>
  <si>
    <t>Implement causal self-attention mechanism</t>
  </si>
  <si>
    <t>Implement causal mask &amp; positional encoding</t>
  </si>
  <si>
    <t>Training &amp; Vaildation on their respective sets using standard loss function &amp; tune hyperparameters</t>
  </si>
  <si>
    <t>Full-system functional verification</t>
  </si>
  <si>
    <t>Loss Function Investigation</t>
  </si>
  <si>
    <t>Indepth research of DRrL, identify areas that need to to be adapted</t>
  </si>
  <si>
    <t>Implementation of adapted DRrL</t>
  </si>
  <si>
    <t>Training and validation of RNN &amp; SASRec with adapted DRrL on respective sets</t>
  </si>
  <si>
    <t>Development &amp; implementation of the combined custom loss function, PWTS</t>
  </si>
  <si>
    <t>Training and validation of RNN &amp; SASRec with adapted PWTS on respective sets</t>
  </si>
  <si>
    <t>Run all 4 models with standard BCE loss function on held-out test set and evaluate with AUC-ROC, MRR &amp; NDCG</t>
  </si>
  <si>
    <t>Run RNN &amp; SASRec with DRrL and PWTS loss functions on held-out test set and evaluate with the above metrics</t>
  </si>
  <si>
    <t>Produce comparison table for each of these comparisons</t>
  </si>
  <si>
    <t>Indentify best performing combinations</t>
  </si>
  <si>
    <t>Report Writing</t>
  </si>
  <si>
    <t>Interpret Skip-probability and Queue-Reordering results</t>
  </si>
  <si>
    <t>Write Evaluation &amp; Results chapters</t>
  </si>
  <si>
    <t>Write Methodology chapter</t>
  </si>
  <si>
    <t>Write Inttroduction &amp; Literature Review chapters</t>
  </si>
  <si>
    <t>Write conlusion, absract chapters</t>
  </si>
  <si>
    <t>Proof-read, format &amp; bibliography</t>
  </si>
  <si>
    <t>Setup Github repo</t>
  </si>
  <si>
    <t>Buffer</t>
  </si>
  <si>
    <t>Write up any limitations/unexpected findings</t>
  </si>
  <si>
    <t>Deadline</t>
  </si>
  <si>
    <t>HOLIDAY</t>
  </si>
  <si>
    <t>May</t>
  </si>
  <si>
    <t>June</t>
  </si>
  <si>
    <t>July</t>
  </si>
  <si>
    <t>August</t>
  </si>
  <si>
    <t>September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</si>
</sst>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4" x14ac:knownFonts="1">
    <font>
      <sz val="11"/>
      <color theme="1"/>
      <name val="Arial"/>
      <family val="2"/>
      <scheme val="minor"/>
    </font>
    <font>
      <sz val="12"/>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8"/>
      <color theme="9"/>
      <name val="Arial Black"/>
      <family val="2"/>
      <scheme val="major"/>
    </font>
    <font>
      <sz val="18"/>
      <color theme="1"/>
      <name val="Arial"/>
      <family val="2"/>
      <scheme val="minor"/>
    </font>
    <font>
      <sz val="72"/>
      <color theme="0"/>
      <name val="Arial (Body)"/>
    </font>
  </fonts>
  <fills count="20">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FFC000"/>
        <bgColor indexed="64"/>
      </patternFill>
    </fill>
    <fill>
      <patternFill patternType="solid">
        <fgColor rgb="FFFF0000"/>
        <bgColor indexed="64"/>
      </patternFill>
    </fill>
    <fill>
      <patternFill patternType="solid">
        <fgColor rgb="FFFF9092"/>
        <bgColor indexed="64"/>
      </patternFill>
    </fill>
    <fill>
      <patternFill patternType="solid">
        <fgColor rgb="FFFFCFD0"/>
        <bgColor indexed="64"/>
      </patternFill>
    </fill>
    <fill>
      <patternFill patternType="solid">
        <fgColor theme="1"/>
        <bgColor indexed="64"/>
      </patternFill>
    </fill>
  </fills>
  <borders count="48">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top/>
      <bottom style="thin">
        <color theme="1" tint="0.499984740745262"/>
      </bottom>
      <diagonal/>
    </border>
    <border>
      <left/>
      <right/>
      <top style="thin">
        <color theme="8" tint="0.59996337778862885"/>
      </top>
      <bottom/>
      <diagonal/>
    </border>
    <border>
      <left style="thin">
        <color theme="9" tint="0.59999389629810485"/>
      </left>
      <right/>
      <top style="thin">
        <color theme="9" tint="0.59999389629810485"/>
      </top>
      <bottom/>
      <diagonal/>
    </border>
    <border>
      <left/>
      <right/>
      <top style="thin">
        <color theme="9" tint="0.59999389629810485"/>
      </top>
      <bottom/>
      <diagonal/>
    </border>
    <border>
      <left/>
      <right style="thin">
        <color theme="9" tint="0.59999389629810485"/>
      </right>
      <top style="thin">
        <color theme="9" tint="0.59999389629810485"/>
      </top>
      <bottom/>
      <diagonal/>
    </border>
    <border>
      <left style="thin">
        <color theme="9" tint="0.59999389629810485"/>
      </left>
      <right/>
      <top/>
      <bottom style="thin">
        <color theme="9" tint="0.59999389629810485"/>
      </bottom>
      <diagonal/>
    </border>
    <border>
      <left/>
      <right/>
      <top/>
      <bottom style="thin">
        <color theme="9" tint="0.59999389629810485"/>
      </bottom>
      <diagonal/>
    </border>
    <border>
      <left/>
      <right style="thin">
        <color theme="9" tint="0.59999389629810485"/>
      </right>
      <top/>
      <bottom style="thin">
        <color theme="9" tint="0.59999389629810485"/>
      </bottom>
      <diagonal/>
    </border>
    <border>
      <left style="thin">
        <color theme="9" tint="0.59999389629810485"/>
      </left>
      <right/>
      <top style="thin">
        <color theme="9" tint="0.59999389629810485"/>
      </top>
      <bottom style="thin">
        <color theme="9" tint="0.59999389629810485"/>
      </bottom>
      <diagonal/>
    </border>
    <border>
      <left/>
      <right/>
      <top style="thin">
        <color theme="9" tint="0.59999389629810485"/>
      </top>
      <bottom style="thin">
        <color theme="9" tint="0.59999389629810485"/>
      </bottom>
      <diagonal/>
    </border>
    <border>
      <left/>
      <right style="thin">
        <color theme="9" tint="0.59999389629810485"/>
      </right>
      <top style="thin">
        <color theme="9" tint="0.59999389629810485"/>
      </top>
      <bottom style="thin">
        <color theme="9" tint="0.59999389629810485"/>
      </bottom>
      <diagonal/>
    </border>
    <border>
      <left style="thin">
        <color theme="9" tint="0.59999389629810485"/>
      </left>
      <right/>
      <top/>
      <bottom/>
      <diagonal/>
    </border>
    <border>
      <left/>
      <right style="thin">
        <color theme="9" tint="0.59999389629810485"/>
      </right>
      <top/>
      <bottom/>
      <diagonal/>
    </border>
    <border>
      <left/>
      <right/>
      <top/>
      <bottom style="thin">
        <color rgb="FFFFCFD0"/>
      </bottom>
      <diagonal/>
    </border>
    <border>
      <left/>
      <right style="thin">
        <color rgb="FFFFCFD0"/>
      </right>
      <top/>
      <bottom style="thin">
        <color rgb="FFFFCFD0"/>
      </bottom>
      <diagonal/>
    </border>
    <border>
      <left style="thin">
        <color rgb="FFFFCFD0"/>
      </left>
      <right/>
      <top/>
      <bottom style="thin">
        <color rgb="FFFFCFD0"/>
      </bottom>
      <diagonal/>
    </border>
    <border>
      <left style="thin">
        <color rgb="FFFFCFD0"/>
      </left>
      <right/>
      <top style="thin">
        <color rgb="FFFFCFD0"/>
      </top>
      <bottom/>
      <diagonal/>
    </border>
    <border>
      <left style="thin">
        <color theme="9" tint="0.59999389629810485"/>
      </left>
      <right/>
      <top style="thin">
        <color rgb="FFFFCFD0"/>
      </top>
      <bottom/>
      <diagonal/>
    </border>
    <border>
      <left/>
      <right/>
      <top style="thin">
        <color rgb="FFFFCFD0"/>
      </top>
      <bottom/>
      <diagonal/>
    </border>
    <border>
      <left/>
      <right style="thin">
        <color rgb="FFFFCFD0"/>
      </right>
      <top style="thin">
        <color rgb="FFFFCFD0"/>
      </top>
      <bottom/>
      <diagonal/>
    </border>
    <border>
      <left style="thin">
        <color rgb="FFFF9092"/>
      </left>
      <right/>
      <top style="thin">
        <color rgb="FFFF9092"/>
      </top>
      <bottom style="thin">
        <color rgb="FFFF9092"/>
      </bottom>
      <diagonal/>
    </border>
    <border>
      <left style="thin">
        <color theme="9" tint="0.59999389629810485"/>
      </left>
      <right/>
      <top style="thin">
        <color rgb="FFFF9092"/>
      </top>
      <bottom style="thin">
        <color rgb="FFFF9092"/>
      </bottom>
      <diagonal/>
    </border>
    <border>
      <left/>
      <right/>
      <top style="thin">
        <color rgb="FFFF9092"/>
      </top>
      <bottom style="thin">
        <color rgb="FFFF9092"/>
      </bottom>
      <diagonal/>
    </border>
    <border>
      <left/>
      <right style="thin">
        <color rgb="FFFF9092"/>
      </right>
      <top style="thin">
        <color rgb="FFFF9092"/>
      </top>
      <bottom style="thin">
        <color rgb="FFFF9092"/>
      </bottom>
      <diagonal/>
    </border>
    <border>
      <left style="thin">
        <color rgb="FFFFCFD0"/>
      </left>
      <right/>
      <top style="thin">
        <color rgb="FFFF9092"/>
      </top>
      <bottom style="thin">
        <color rgb="FFFF9092"/>
      </bottom>
      <diagonal/>
    </border>
    <border>
      <left/>
      <right style="thin">
        <color rgb="FFFFCFD0"/>
      </right>
      <top style="thin">
        <color rgb="FFFF9092"/>
      </top>
      <bottom style="thin">
        <color rgb="FFFF9092"/>
      </bottom>
      <diagonal/>
    </border>
    <border>
      <left/>
      <right style="thin">
        <color theme="0" tint="-4.9989318521683403E-2"/>
      </right>
      <top style="thin">
        <color theme="0" tint="-4.9989318521683403E-2"/>
      </top>
      <bottom style="thin">
        <color theme="0" tint="-4.9989318521683403E-2"/>
      </bottom>
      <diagonal/>
    </border>
    <border>
      <left style="thin">
        <color theme="1"/>
      </left>
      <right style="thin">
        <color theme="1"/>
      </right>
      <top style="thin">
        <color theme="1"/>
      </top>
      <bottom style="thin">
        <color theme="1"/>
      </bottom>
      <diagonal/>
    </border>
    <border>
      <left/>
      <right style="thin">
        <color theme="1"/>
      </right>
      <top/>
      <bottom/>
      <diagonal/>
    </border>
    <border>
      <left/>
      <right style="thin">
        <color theme="1" tint="0.499984740745262"/>
      </right>
      <top/>
      <bottom style="thin">
        <color theme="1" tint="0.499984740745262"/>
      </bottom>
      <diagonal/>
    </border>
    <border>
      <left style="thin">
        <color theme="1" tint="0.499984740745262"/>
      </left>
      <right/>
      <top/>
      <bottom style="thin">
        <color theme="1" tint="0.499984740745262"/>
      </bottom>
      <diagonal/>
    </border>
  </borders>
  <cellStyleXfs count="13">
    <xf numFmtId="0" fontId="0" fillId="0" borderId="0"/>
    <xf numFmtId="0" fontId="3" fillId="0" borderId="0" applyNumberFormat="0" applyFill="0" applyBorder="0" applyAlignment="0" applyProtection="0">
      <alignment vertical="top"/>
      <protection locked="0"/>
    </xf>
    <xf numFmtId="9" fontId="5" fillId="0" borderId="0" applyFont="0" applyFill="0" applyBorder="0" applyAlignment="0" applyProtection="0"/>
    <xf numFmtId="0" fontId="8" fillId="0" borderId="0"/>
    <xf numFmtId="43" fontId="5" fillId="0" borderId="2" applyFont="0" applyFill="0" applyAlignment="0" applyProtection="0"/>
    <xf numFmtId="0" fontId="7" fillId="0" borderId="0" applyNumberFormat="0" applyFill="0" applyBorder="0" applyAlignment="0" applyProtection="0"/>
    <xf numFmtId="0" fontId="6" fillId="0" borderId="0" applyNumberFormat="0" applyFill="0" applyAlignment="0" applyProtection="0"/>
    <xf numFmtId="0" fontId="6" fillId="0" borderId="0" applyNumberFormat="0" applyFill="0" applyProtection="0">
      <alignment vertical="top"/>
    </xf>
    <xf numFmtId="0" fontId="5" fillId="0" borderId="0" applyNumberFormat="0" applyFill="0" applyProtection="0">
      <alignment horizontal="right" indent="1"/>
    </xf>
    <xf numFmtId="165" fontId="5" fillId="0" borderId="2">
      <alignment horizontal="center" vertical="center"/>
    </xf>
    <xf numFmtId="164" fontId="5" fillId="0" borderId="1" applyFill="0">
      <alignment horizontal="center" vertical="center"/>
    </xf>
    <xf numFmtId="0" fontId="5" fillId="0" borderId="1" applyFill="0">
      <alignment horizontal="center" vertical="center"/>
    </xf>
    <xf numFmtId="0" fontId="5" fillId="0" borderId="1" applyFill="0">
      <alignment horizontal="left" vertical="center" indent="2"/>
    </xf>
  </cellStyleXfs>
  <cellXfs count="133">
    <xf numFmtId="0" fontId="0" fillId="0" borderId="0" xfId="0"/>
    <xf numFmtId="0" fontId="2" fillId="0" borderId="0" xfId="0" applyFont="1"/>
    <xf numFmtId="0" fontId="0" fillId="0" borderId="0" xfId="0" applyAlignment="1">
      <alignment horizontal="center"/>
    </xf>
    <xf numFmtId="0" fontId="4" fillId="0" borderId="1" xfId="0" applyFont="1" applyBorder="1" applyAlignment="1">
      <alignment horizontal="center" vertical="center"/>
    </xf>
    <xf numFmtId="0" fontId="8" fillId="0" borderId="0" xfId="3"/>
    <xf numFmtId="0" fontId="8" fillId="0" borderId="0" xfId="3" applyAlignment="1">
      <alignment wrapText="1"/>
    </xf>
    <xf numFmtId="0" fontId="4" fillId="0" borderId="0" xfId="0" applyFont="1" applyAlignment="1">
      <alignment horizontal="center" vertical="center"/>
    </xf>
    <xf numFmtId="0" fontId="9" fillId="0" borderId="0" xfId="0" applyFont="1"/>
    <xf numFmtId="0" fontId="9" fillId="0" borderId="0" xfId="0" applyFont="1" applyAlignment="1">
      <alignment horizontal="center"/>
    </xf>
    <xf numFmtId="0" fontId="9" fillId="0" borderId="0" xfId="0" applyFont="1" applyAlignment="1">
      <alignment horizontal="center" vertical="center"/>
    </xf>
    <xf numFmtId="0" fontId="10" fillId="0" borderId="0" xfId="0" applyFont="1"/>
    <xf numFmtId="0" fontId="10" fillId="0" borderId="0" xfId="0" applyFont="1" applyAlignment="1">
      <alignment horizontal="center"/>
    </xf>
    <xf numFmtId="0" fontId="11" fillId="0" borderId="0" xfId="0" applyFont="1"/>
    <xf numFmtId="0" fontId="12" fillId="0" borderId="0" xfId="0" applyFont="1" applyAlignment="1">
      <alignment horizontal="left" indent="1"/>
    </xf>
    <xf numFmtId="0" fontId="5" fillId="0" borderId="0" xfId="0" applyFont="1"/>
    <xf numFmtId="0" fontId="5" fillId="0" borderId="0" xfId="8">
      <alignment horizontal="right" indent="1"/>
    </xf>
    <xf numFmtId="0" fontId="5" fillId="0" borderId="0" xfId="0" applyFont="1" applyAlignment="1">
      <alignment horizontal="center"/>
    </xf>
    <xf numFmtId="0" fontId="2" fillId="0" borderId="0" xfId="1" applyFont="1" applyAlignment="1" applyProtection="1">
      <alignment horizontal="left" vertical="top" indent="1"/>
    </xf>
    <xf numFmtId="0" fontId="5" fillId="0" borderId="0" xfId="0" applyFont="1" applyAlignment="1">
      <alignment horizontal="left" indent="1"/>
    </xf>
    <xf numFmtId="0" fontId="16" fillId="2" borderId="16" xfId="0" applyFont="1" applyFill="1" applyBorder="1" applyAlignment="1">
      <alignment horizontal="center" vertical="center" shrinkToFit="1"/>
    </xf>
    <xf numFmtId="0" fontId="16" fillId="2" borderId="13" xfId="0" applyFont="1" applyFill="1" applyBorder="1" applyAlignment="1">
      <alignment horizontal="center" vertical="center" shrinkToFit="1"/>
    </xf>
    <xf numFmtId="0" fontId="16" fillId="2" borderId="14" xfId="0" applyFont="1" applyFill="1" applyBorder="1" applyAlignment="1">
      <alignment horizontal="center" vertical="center" shrinkToFit="1"/>
    </xf>
    <xf numFmtId="0" fontId="13" fillId="0" borderId="0" xfId="0" applyFont="1"/>
    <xf numFmtId="0" fontId="5" fillId="0" borderId="3" xfId="0" applyFont="1" applyBorder="1" applyAlignment="1">
      <alignment vertical="center"/>
    </xf>
    <xf numFmtId="0" fontId="17" fillId="6" borderId="0" xfId="0" applyFont="1" applyFill="1" applyAlignment="1">
      <alignment horizontal="left" vertical="center" indent="1"/>
    </xf>
    <xf numFmtId="9" fontId="2" fillId="6" borderId="0" xfId="2" applyFont="1" applyFill="1" applyBorder="1" applyAlignment="1">
      <alignment horizontal="center" vertical="center"/>
    </xf>
    <xf numFmtId="164" fontId="13" fillId="6" borderId="0" xfId="0" applyNumberFormat="1" applyFont="1" applyFill="1" applyAlignment="1">
      <alignment horizontal="center" vertical="center"/>
    </xf>
    <xf numFmtId="164" fontId="2" fillId="6" borderId="0" xfId="0" applyNumberFormat="1" applyFont="1" applyFill="1" applyAlignment="1">
      <alignment horizontal="center" vertical="center"/>
    </xf>
    <xf numFmtId="0" fontId="5" fillId="0" borderId="12" xfId="0" applyFont="1" applyBorder="1" applyAlignment="1">
      <alignment vertical="center"/>
    </xf>
    <xf numFmtId="0" fontId="5" fillId="0" borderId="0" xfId="0" applyFont="1" applyAlignment="1">
      <alignment vertical="center"/>
    </xf>
    <xf numFmtId="0" fontId="13" fillId="3" borderId="6" xfId="12" applyFont="1" applyFill="1" applyBorder="1">
      <alignment horizontal="left" vertical="center" indent="2"/>
    </xf>
    <xf numFmtId="9" fontId="2" fillId="3" borderId="6" xfId="2" applyFont="1" applyFill="1" applyBorder="1" applyAlignment="1">
      <alignment horizontal="center" vertical="center"/>
    </xf>
    <xf numFmtId="0" fontId="5" fillId="0" borderId="4" xfId="0" applyFont="1" applyBorder="1" applyAlignment="1">
      <alignment vertical="center"/>
    </xf>
    <xf numFmtId="0" fontId="13" fillId="3" borderId="7" xfId="12" applyFont="1" applyFill="1" applyBorder="1">
      <alignment horizontal="left" vertical="center" indent="2"/>
    </xf>
    <xf numFmtId="9" fontId="2" fillId="3" borderId="7" xfId="2" applyFont="1" applyFill="1" applyBorder="1" applyAlignment="1">
      <alignment horizontal="center" vertical="center"/>
    </xf>
    <xf numFmtId="0" fontId="5" fillId="0" borderId="4" xfId="0" applyFont="1" applyBorder="1" applyAlignment="1">
      <alignment horizontal="right" vertical="center"/>
    </xf>
    <xf numFmtId="0" fontId="17" fillId="7" borderId="0" xfId="0" applyFont="1" applyFill="1" applyAlignment="1">
      <alignment horizontal="left" vertical="center" indent="1"/>
    </xf>
    <xf numFmtId="9" fontId="2" fillId="7" borderId="0" xfId="2" applyFont="1" applyFill="1" applyBorder="1" applyAlignment="1">
      <alignment horizontal="center" vertical="center"/>
    </xf>
    <xf numFmtId="0" fontId="13" fillId="4" borderId="5" xfId="12" applyFont="1" applyFill="1" applyBorder="1">
      <alignment horizontal="left" vertical="center" indent="2"/>
    </xf>
    <xf numFmtId="9" fontId="2" fillId="4" borderId="5" xfId="2" applyFont="1" applyFill="1" applyBorder="1" applyAlignment="1">
      <alignment horizontal="center" vertical="center"/>
    </xf>
    <xf numFmtId="0" fontId="17" fillId="8" borderId="0" xfId="0" applyFont="1" applyFill="1" applyAlignment="1">
      <alignment horizontal="left" vertical="center" indent="1"/>
    </xf>
    <xf numFmtId="9" fontId="2" fillId="8" borderId="0" xfId="2" applyFont="1" applyFill="1" applyBorder="1" applyAlignment="1">
      <alignment horizontal="center" vertical="center"/>
    </xf>
    <xf numFmtId="0" fontId="5" fillId="0" borderId="11" xfId="0" applyFont="1" applyBorder="1" applyAlignment="1">
      <alignment vertical="center"/>
    </xf>
    <xf numFmtId="0" fontId="13" fillId="5" borderId="8" xfId="12" applyFont="1" applyFill="1" applyBorder="1">
      <alignment horizontal="left" vertical="center" indent="2"/>
    </xf>
    <xf numFmtId="9" fontId="2" fillId="5" borderId="8" xfId="2" applyFont="1" applyFill="1" applyBorder="1" applyAlignment="1">
      <alignment horizontal="center" vertical="center"/>
    </xf>
    <xf numFmtId="0" fontId="17" fillId="9" borderId="0" xfId="0" applyFont="1" applyFill="1" applyAlignment="1">
      <alignment horizontal="left" vertical="center" indent="1"/>
    </xf>
    <xf numFmtId="9" fontId="2" fillId="9" borderId="0" xfId="2" applyFont="1" applyFill="1" applyBorder="1" applyAlignment="1">
      <alignment horizontal="center" vertical="center"/>
    </xf>
    <xf numFmtId="0" fontId="5" fillId="0" borderId="10" xfId="0" applyFont="1" applyBorder="1" applyAlignment="1">
      <alignment vertical="center"/>
    </xf>
    <xf numFmtId="0" fontId="13" fillId="10" borderId="9" xfId="12" applyFont="1" applyFill="1" applyBorder="1">
      <alignment horizontal="left" vertical="center" indent="2"/>
    </xf>
    <xf numFmtId="9" fontId="2" fillId="10" borderId="9" xfId="2" applyFont="1" applyFill="1" applyBorder="1" applyAlignment="1">
      <alignment horizontal="center" vertical="center"/>
    </xf>
    <xf numFmtId="0" fontId="18" fillId="0" borderId="0" xfId="6" applyFont="1" applyAlignment="1">
      <alignment horizontal="left" vertical="center" indent="1"/>
    </xf>
    <xf numFmtId="14" fontId="13" fillId="3" borderId="6" xfId="10" applyNumberFormat="1" applyFont="1" applyFill="1" applyBorder="1">
      <alignment horizontal="center" vertical="center"/>
    </xf>
    <xf numFmtId="14" fontId="13" fillId="3" borderId="7" xfId="10" applyNumberFormat="1" applyFont="1" applyFill="1" applyBorder="1">
      <alignment horizontal="center" vertical="center"/>
    </xf>
    <xf numFmtId="14" fontId="13" fillId="7" borderId="0" xfId="0" applyNumberFormat="1" applyFont="1" applyFill="1" applyAlignment="1">
      <alignment horizontal="center" vertical="center"/>
    </xf>
    <xf numFmtId="14" fontId="2" fillId="7" borderId="0" xfId="0" applyNumberFormat="1" applyFont="1" applyFill="1" applyAlignment="1">
      <alignment horizontal="center" vertical="center"/>
    </xf>
    <xf numFmtId="14" fontId="13" fillId="4" borderId="5" xfId="10" applyNumberFormat="1" applyFont="1" applyFill="1" applyBorder="1">
      <alignment horizontal="center" vertical="center"/>
    </xf>
    <xf numFmtId="14" fontId="13" fillId="8" borderId="0" xfId="0" applyNumberFormat="1" applyFont="1" applyFill="1" applyAlignment="1">
      <alignment horizontal="center" vertical="center"/>
    </xf>
    <xf numFmtId="14" fontId="2" fillId="8" borderId="0" xfId="0" applyNumberFormat="1" applyFont="1" applyFill="1" applyAlignment="1">
      <alignment horizontal="center" vertical="center"/>
    </xf>
    <xf numFmtId="14" fontId="13" fillId="5" borderId="8" xfId="10" applyNumberFormat="1" applyFont="1" applyFill="1" applyBorder="1">
      <alignment horizontal="center" vertical="center"/>
    </xf>
    <xf numFmtId="14" fontId="13" fillId="9" borderId="0" xfId="0" applyNumberFormat="1" applyFont="1" applyFill="1" applyAlignment="1">
      <alignment horizontal="center" vertical="center"/>
    </xf>
    <xf numFmtId="14" fontId="2" fillId="9" borderId="0" xfId="0" applyNumberFormat="1" applyFont="1" applyFill="1" applyAlignment="1">
      <alignment horizontal="center" vertical="center"/>
    </xf>
    <xf numFmtId="14" fontId="13" fillId="10" borderId="9" xfId="10" applyNumberFormat="1" applyFont="1" applyFill="1" applyBorder="1">
      <alignment horizontal="center" vertical="center"/>
    </xf>
    <xf numFmtId="0" fontId="13" fillId="3" borderId="7" xfId="12" applyFont="1" applyFill="1" applyBorder="1" applyAlignment="1">
      <alignment horizontal="left" vertical="center" wrapText="1" indent="2"/>
    </xf>
    <xf numFmtId="0" fontId="13" fillId="4" borderId="5" xfId="12" applyFont="1" applyFill="1" applyBorder="1" applyAlignment="1">
      <alignment horizontal="left" vertical="center" wrapText="1" indent="2"/>
    </xf>
    <xf numFmtId="0" fontId="13" fillId="5" borderId="8" xfId="12" applyFont="1" applyFill="1" applyBorder="1" applyAlignment="1">
      <alignment horizontal="left" vertical="center" wrapText="1" indent="2"/>
    </xf>
    <xf numFmtId="0" fontId="13" fillId="10" borderId="9" xfId="12" applyFont="1" applyFill="1" applyBorder="1" applyAlignment="1">
      <alignment horizontal="left" vertical="center" wrapText="1" indent="2"/>
    </xf>
    <xf numFmtId="0" fontId="17" fillId="17" borderId="0" xfId="0" applyFont="1" applyFill="1" applyAlignment="1">
      <alignment horizontal="left" vertical="center" indent="1"/>
    </xf>
    <xf numFmtId="9" fontId="2" fillId="17" borderId="0" xfId="2" applyFont="1" applyFill="1" applyBorder="1" applyAlignment="1">
      <alignment horizontal="center" vertical="center"/>
    </xf>
    <xf numFmtId="14" fontId="13" fillId="17" borderId="0" xfId="0" applyNumberFormat="1" applyFont="1" applyFill="1" applyAlignment="1">
      <alignment horizontal="center" vertical="center"/>
    </xf>
    <xf numFmtId="14" fontId="2" fillId="17" borderId="0" xfId="0" applyNumberFormat="1" applyFont="1" applyFill="1" applyAlignment="1">
      <alignment horizontal="center" vertical="center"/>
    </xf>
    <xf numFmtId="0" fontId="13" fillId="10" borderId="18" xfId="12" applyFont="1" applyFill="1" applyBorder="1">
      <alignment horizontal="left" vertical="center" indent="2"/>
    </xf>
    <xf numFmtId="9" fontId="2" fillId="10" borderId="18" xfId="2" applyFont="1" applyFill="1" applyBorder="1" applyAlignment="1">
      <alignment horizontal="center" vertical="center"/>
    </xf>
    <xf numFmtId="14" fontId="13" fillId="10" borderId="18" xfId="10" applyNumberFormat="1" applyFont="1" applyFill="1" applyBorder="1">
      <alignment horizontal="center" vertical="center"/>
    </xf>
    <xf numFmtId="0" fontId="17" fillId="13" borderId="19" xfId="0" applyFont="1" applyFill="1" applyBorder="1" applyAlignment="1">
      <alignment horizontal="left" vertical="center" indent="1"/>
    </xf>
    <xf numFmtId="9" fontId="2" fillId="13" borderId="20" xfId="2" applyFont="1" applyFill="1" applyBorder="1" applyAlignment="1">
      <alignment horizontal="center" vertical="center"/>
    </xf>
    <xf numFmtId="14" fontId="13" fillId="13" borderId="20" xfId="0" applyNumberFormat="1" applyFont="1" applyFill="1" applyBorder="1" applyAlignment="1">
      <alignment horizontal="center" vertical="center"/>
    </xf>
    <xf numFmtId="14" fontId="2" fillId="13" borderId="21" xfId="0" applyNumberFormat="1" applyFont="1" applyFill="1" applyBorder="1" applyAlignment="1">
      <alignment horizontal="center" vertical="center"/>
    </xf>
    <xf numFmtId="0" fontId="13" fillId="14" borderId="22" xfId="12" applyFont="1" applyFill="1" applyBorder="1">
      <alignment horizontal="left" vertical="center" indent="2"/>
    </xf>
    <xf numFmtId="9" fontId="2" fillId="14" borderId="23" xfId="2" applyFont="1" applyFill="1" applyBorder="1" applyAlignment="1">
      <alignment horizontal="center" vertical="center"/>
    </xf>
    <xf numFmtId="14" fontId="13" fillId="14" borderId="23" xfId="10" applyNumberFormat="1" applyFont="1" applyFill="1" applyBorder="1">
      <alignment horizontal="center" vertical="center"/>
    </xf>
    <xf numFmtId="14" fontId="13" fillId="14" borderId="24" xfId="10" applyNumberFormat="1" applyFont="1" applyFill="1" applyBorder="1">
      <alignment horizontal="center" vertical="center"/>
    </xf>
    <xf numFmtId="0" fontId="13" fillId="14" borderId="25" xfId="12" applyFont="1" applyFill="1" applyBorder="1" applyAlignment="1">
      <alignment horizontal="left" vertical="center" wrapText="1" indent="2"/>
    </xf>
    <xf numFmtId="9" fontId="2" fillId="14" borderId="26" xfId="2" applyFont="1" applyFill="1" applyBorder="1" applyAlignment="1">
      <alignment horizontal="center" vertical="center"/>
    </xf>
    <xf numFmtId="14" fontId="13" fillId="14" borderId="26" xfId="10" applyNumberFormat="1" applyFont="1" applyFill="1" applyBorder="1">
      <alignment horizontal="center" vertical="center"/>
    </xf>
    <xf numFmtId="14" fontId="13" fillId="14" borderId="27" xfId="10" applyNumberFormat="1" applyFont="1" applyFill="1" applyBorder="1">
      <alignment horizontal="center" vertical="center"/>
    </xf>
    <xf numFmtId="0" fontId="13" fillId="14" borderId="28" xfId="12" applyFont="1" applyFill="1" applyBorder="1" applyAlignment="1">
      <alignment horizontal="left" vertical="center" wrapText="1" indent="2"/>
    </xf>
    <xf numFmtId="9" fontId="2" fillId="14" borderId="0" xfId="2" applyFont="1" applyFill="1" applyBorder="1" applyAlignment="1">
      <alignment horizontal="center" vertical="center"/>
    </xf>
    <xf numFmtId="14" fontId="13" fillId="14" borderId="0" xfId="10" applyNumberFormat="1" applyFont="1" applyFill="1" applyBorder="1">
      <alignment horizontal="center" vertical="center"/>
    </xf>
    <xf numFmtId="14" fontId="13" fillId="14" borderId="29" xfId="10" applyNumberFormat="1" applyFont="1" applyFill="1" applyBorder="1">
      <alignment horizontal="center" vertical="center"/>
    </xf>
    <xf numFmtId="0" fontId="13" fillId="14" borderId="25" xfId="12" applyFont="1" applyFill="1" applyBorder="1">
      <alignment horizontal="left" vertical="center" indent="2"/>
    </xf>
    <xf numFmtId="9" fontId="2" fillId="18" borderId="30" xfId="2" applyFont="1" applyFill="1" applyBorder="1" applyAlignment="1">
      <alignment horizontal="center" vertical="center"/>
    </xf>
    <xf numFmtId="14" fontId="13" fillId="18" borderId="30" xfId="10" applyNumberFormat="1" applyFont="1" applyFill="1" applyBorder="1">
      <alignment horizontal="center" vertical="center"/>
    </xf>
    <xf numFmtId="14" fontId="13" fillId="18" borderId="31" xfId="10" applyNumberFormat="1" applyFont="1" applyFill="1" applyBorder="1">
      <alignment horizontal="center" vertical="center"/>
    </xf>
    <xf numFmtId="0" fontId="13" fillId="18" borderId="32" xfId="12" applyFont="1" applyFill="1" applyBorder="1" applyAlignment="1">
      <alignment horizontal="left" vertical="center" wrapText="1" indent="2"/>
    </xf>
    <xf numFmtId="0" fontId="13" fillId="18" borderId="33" xfId="12" applyFont="1" applyFill="1" applyBorder="1" applyAlignment="1">
      <alignment horizontal="left" vertical="center" wrapText="1" indent="2"/>
    </xf>
    <xf numFmtId="9" fontId="2" fillId="18" borderId="34" xfId="2" applyFont="1" applyFill="1" applyBorder="1" applyAlignment="1">
      <alignment horizontal="center" vertical="center"/>
    </xf>
    <xf numFmtId="14" fontId="13" fillId="18" borderId="35" xfId="10" applyNumberFormat="1" applyFont="1" applyFill="1" applyBorder="1">
      <alignment horizontal="center" vertical="center"/>
    </xf>
    <xf numFmtId="14" fontId="13" fillId="18" borderId="36" xfId="10" applyNumberFormat="1" applyFont="1" applyFill="1" applyBorder="1">
      <alignment horizontal="center" vertical="center"/>
    </xf>
    <xf numFmtId="0" fontId="13" fillId="18" borderId="37" xfId="12" applyFont="1" applyFill="1" applyBorder="1" applyAlignment="1">
      <alignment horizontal="left" vertical="center" wrapText="1" indent="2"/>
    </xf>
    <xf numFmtId="9" fontId="2" fillId="18" borderId="38" xfId="2" applyFont="1" applyFill="1" applyBorder="1" applyAlignment="1">
      <alignment horizontal="center" vertical="center"/>
    </xf>
    <xf numFmtId="14" fontId="13" fillId="18" borderId="39" xfId="10" applyNumberFormat="1" applyFont="1" applyFill="1" applyBorder="1">
      <alignment horizontal="center" vertical="center"/>
    </xf>
    <xf numFmtId="14" fontId="13" fillId="18" borderId="40" xfId="10" applyNumberFormat="1" applyFont="1" applyFill="1" applyBorder="1">
      <alignment horizontal="center" vertical="center"/>
    </xf>
    <xf numFmtId="0" fontId="13" fillId="18" borderId="41" xfId="12" applyFont="1" applyFill="1" applyBorder="1" applyAlignment="1">
      <alignment horizontal="left" vertical="center" wrapText="1" indent="2"/>
    </xf>
    <xf numFmtId="14" fontId="13" fillId="18" borderId="42" xfId="10" applyNumberFormat="1" applyFont="1" applyFill="1" applyBorder="1">
      <alignment horizontal="center" vertical="center"/>
    </xf>
    <xf numFmtId="9" fontId="2" fillId="18" borderId="39" xfId="2" applyFont="1" applyFill="1" applyBorder="1" applyAlignment="1">
      <alignment horizontal="center" vertical="center"/>
    </xf>
    <xf numFmtId="0" fontId="13" fillId="3" borderId="6" xfId="12" applyFont="1" applyFill="1" applyBorder="1" applyAlignment="1">
      <alignment horizontal="left" vertical="center" wrapText="1" indent="2"/>
    </xf>
    <xf numFmtId="9" fontId="2" fillId="15" borderId="7" xfId="2" applyFont="1" applyFill="1" applyBorder="1" applyAlignment="1">
      <alignment horizontal="center" vertical="center"/>
    </xf>
    <xf numFmtId="14" fontId="13" fillId="15" borderId="7" xfId="10" applyNumberFormat="1" applyFont="1" applyFill="1" applyBorder="1">
      <alignment horizontal="center" vertical="center"/>
    </xf>
    <xf numFmtId="0" fontId="6" fillId="15" borderId="7" xfId="12" applyFont="1" applyFill="1" applyBorder="1" applyAlignment="1">
      <alignment horizontal="left" vertical="center" wrapText="1" indent="2"/>
    </xf>
    <xf numFmtId="0" fontId="6" fillId="16" borderId="7" xfId="12" applyFont="1" applyFill="1" applyBorder="1" applyAlignment="1">
      <alignment horizontal="left" vertical="center" wrapText="1" indent="2"/>
    </xf>
    <xf numFmtId="9" fontId="2" fillId="16" borderId="7" xfId="2" applyFont="1" applyFill="1" applyBorder="1" applyAlignment="1">
      <alignment horizontal="center" vertical="center"/>
    </xf>
    <xf numFmtId="14" fontId="13" fillId="16" borderId="7" xfId="10" applyNumberFormat="1" applyFont="1" applyFill="1" applyBorder="1">
      <alignment horizontal="center" vertical="center"/>
    </xf>
    <xf numFmtId="0" fontId="21" fillId="0" borderId="0" xfId="5" applyFont="1" applyAlignment="1">
      <alignment horizontal="left" wrapText="1"/>
    </xf>
    <xf numFmtId="14" fontId="5" fillId="0" borderId="0" xfId="0" applyNumberFormat="1" applyFont="1" applyAlignment="1">
      <alignment vertical="center"/>
    </xf>
    <xf numFmtId="0" fontId="5" fillId="0" borderId="43" xfId="0" applyFont="1" applyBorder="1" applyAlignment="1">
      <alignment vertical="center"/>
    </xf>
    <xf numFmtId="0" fontId="1" fillId="0" borderId="0" xfId="0" applyFont="1"/>
    <xf numFmtId="167" fontId="15" fillId="12" borderId="17" xfId="0" applyNumberFormat="1" applyFont="1" applyFill="1" applyBorder="1" applyAlignment="1">
      <alignment horizontal="center" vertical="center"/>
    </xf>
    <xf numFmtId="167" fontId="15" fillId="12" borderId="46" xfId="0" applyNumberFormat="1" applyFont="1" applyFill="1" applyBorder="1" applyAlignment="1">
      <alignment horizontal="center" vertical="center"/>
    </xf>
    <xf numFmtId="167" fontId="15" fillId="12" borderId="47" xfId="0" applyNumberFormat="1" applyFont="1" applyFill="1" applyBorder="1" applyAlignment="1">
      <alignment horizontal="center" vertical="center"/>
    </xf>
    <xf numFmtId="0" fontId="8" fillId="0" borderId="0" xfId="3" applyAlignment="1">
      <alignment wrapText="1"/>
    </xf>
    <xf numFmtId="0" fontId="14" fillId="11" borderId="15" xfId="0" applyFont="1" applyFill="1" applyBorder="1" applyAlignment="1">
      <alignment horizontal="left" vertical="center" indent="1"/>
    </xf>
    <xf numFmtId="0" fontId="5" fillId="2" borderId="17" xfId="0" applyFont="1" applyFill="1" applyBorder="1" applyAlignment="1">
      <alignment horizontal="left" indent="1"/>
    </xf>
    <xf numFmtId="0" fontId="14" fillId="11" borderId="15" xfId="0" applyFont="1" applyFill="1" applyBorder="1" applyAlignment="1">
      <alignment horizontal="center" vertical="center"/>
    </xf>
    <xf numFmtId="0" fontId="5" fillId="2" borderId="17" xfId="0" applyFont="1" applyFill="1" applyBorder="1"/>
    <xf numFmtId="166" fontId="22" fillId="2" borderId="44" xfId="0" applyNumberFormat="1" applyFont="1" applyFill="1" applyBorder="1" applyAlignment="1">
      <alignment horizontal="center" vertical="center" wrapText="1"/>
    </xf>
    <xf numFmtId="0" fontId="19" fillId="0" borderId="0" xfId="0" applyFont="1" applyAlignment="1">
      <alignment horizontal="left"/>
    </xf>
    <xf numFmtId="0" fontId="20" fillId="0" borderId="0" xfId="0" applyFont="1"/>
    <xf numFmtId="14" fontId="19" fillId="0" borderId="0" xfId="9" applyNumberFormat="1" applyFont="1" applyBorder="1" applyAlignment="1">
      <alignment horizontal="left"/>
    </xf>
    <xf numFmtId="14" fontId="20" fillId="0" borderId="0" xfId="0" applyNumberFormat="1" applyFont="1"/>
    <xf numFmtId="0" fontId="18" fillId="0" borderId="0" xfId="8" applyFont="1" applyAlignment="1">
      <alignment horizontal="left"/>
    </xf>
    <xf numFmtId="0" fontId="5" fillId="0" borderId="0" xfId="0" applyFont="1"/>
    <xf numFmtId="0" fontId="23" fillId="19" borderId="0" xfId="0" applyFont="1" applyFill="1" applyAlignment="1">
      <alignment horizontal="center" vertical="center" textRotation="180"/>
    </xf>
    <xf numFmtId="0" fontId="23" fillId="19" borderId="45" xfId="0" applyFont="1" applyFill="1" applyBorder="1" applyAlignment="1">
      <alignment horizontal="center" vertical="center" textRotation="180"/>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 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36">
    <dxf>
      <fill>
        <patternFill>
          <bgColor rgb="FFFFC000"/>
        </patternFill>
      </fill>
      <border>
        <left/>
        <right/>
        <top style="thin">
          <color theme="0" tint="-4.9989318521683403E-2"/>
        </top>
        <bottom style="thin">
          <color theme="0" tint="-4.9989318521683403E-2"/>
        </bottom>
      </border>
    </dxf>
    <dxf>
      <fill>
        <patternFill>
          <bgColor rgb="FFFF0000"/>
        </patternFill>
      </fill>
      <border>
        <left/>
        <right/>
        <top style="thin">
          <color theme="0" tint="-4.9989318521683403E-2"/>
        </top>
        <bottom style="thin">
          <color theme="0" tint="-4.9989318521683403E-2"/>
        </bottom>
      </border>
    </dxf>
    <dxf>
      <border>
        <left style="thin">
          <color theme="5"/>
        </left>
        <right style="thin">
          <color theme="5"/>
        </right>
        <vertical/>
        <horizontal/>
      </border>
    </dxf>
    <dxf>
      <fill>
        <patternFill>
          <bgColor rgb="FFFF9092"/>
        </patternFill>
      </fill>
      <border>
        <left/>
        <right/>
      </border>
    </dxf>
    <dxf>
      <fill>
        <patternFill>
          <bgColor theme="9" tint="0.39994506668294322"/>
        </patternFill>
      </fill>
      <border>
        <left/>
        <right/>
      </border>
    </dxf>
    <dxf>
      <fill>
        <patternFill>
          <bgColor theme="8"/>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rgb="FFFF0000"/>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rgb="FFFFC000"/>
        </patternFill>
      </fill>
      <border>
        <left/>
        <right/>
        <top style="thin">
          <color theme="0" tint="-4.9989318521683403E-2"/>
        </top>
        <bottom style="thin">
          <color theme="0" tint="-4.9989318521683403E-2"/>
        </bottom>
      </border>
    </dxf>
    <dxf>
      <fill>
        <patternFill>
          <bgColor rgb="FFFFCFD0"/>
        </patternFill>
      </fill>
      <border>
        <left/>
        <right/>
      </border>
    </dxf>
    <dxf>
      <fill>
        <patternFill>
          <bgColor rgb="FFFF9092"/>
        </patternFill>
      </fill>
      <border>
        <left/>
        <right/>
      </border>
    </dxf>
    <dxf>
      <fill>
        <patternFill>
          <bgColor theme="9" tint="0.79998168889431442"/>
        </patternFill>
      </fill>
      <border>
        <left/>
        <right/>
      </border>
    </dxf>
    <dxf>
      <fill>
        <patternFill>
          <bgColor theme="9" tint="0.39994506668294322"/>
        </patternFill>
      </fill>
      <border>
        <left/>
        <right/>
      </border>
    </dxf>
    <dxf>
      <fill>
        <patternFill>
          <bgColor theme="8" tint="0.59996337778862885"/>
        </patternFill>
      </fill>
      <border>
        <left/>
        <right/>
      </border>
    </dxf>
    <dxf>
      <fill>
        <patternFill>
          <bgColor theme="8"/>
        </patternFill>
      </fill>
      <border>
        <left/>
        <right/>
      </border>
    </dxf>
    <dxf>
      <fill>
        <patternFill>
          <bgColor theme="6" tint="0.79998168889431442"/>
        </patternFill>
      </fill>
      <border>
        <top style="thin">
          <color theme="0" tint="-4.9989318521683403E-2"/>
        </top>
        <bottom style="thin">
          <color theme="0" tint="-4.9989318521683403E-2"/>
        </bottom>
      </border>
    </dxf>
    <dxf>
      <fill>
        <patternFill>
          <bgColor theme="6"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5"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4" tint="0.39994506668294322"/>
        </patternFill>
      </fill>
      <border>
        <left/>
        <right/>
        <top style="thin">
          <color theme="0" tint="-4.9989318521683403E-2"/>
        </top>
        <bottom style="thin">
          <color theme="0" tint="-4.9989318521683403E-2"/>
        </bottom>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35"/>
      <tableStyleElement type="headerRow" dxfId="34"/>
      <tableStyleElement type="totalRow" dxfId="33"/>
      <tableStyleElement type="firstColumn" dxfId="32"/>
      <tableStyleElement type="lastColumn" dxfId="31"/>
      <tableStyleElement type="firstRowStripe" dxfId="30"/>
      <tableStyleElement type="secondRowStripe" dxfId="29"/>
      <tableStyleElement type="firstColumnStripe" dxfId="28"/>
      <tableStyleElement type="secondColumnStripe" dxfId="2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E0D4FF"/>
      <color rgb="FFA47DFB"/>
      <color rgb="FFFF9092"/>
      <color rgb="FFFFCFD0"/>
      <color rgb="FFFCE8B2"/>
      <color rgb="FFFFD040"/>
      <color rgb="FF215881"/>
      <color rgb="FF42648A"/>
      <color rgb="FF969696"/>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EL55"/>
  <sheetViews>
    <sheetView showGridLines="0" tabSelected="1" showRuler="0" topLeftCell="A4" zoomScale="90" zoomScaleNormal="100" zoomScalePageLayoutView="70" workbookViewId="0">
      <selection activeCell="C47" sqref="C47"/>
    </sheetView>
  </sheetViews>
  <sheetFormatPr baseColWidth="10" defaultColWidth="8.6640625" defaultRowHeight="30" customHeight="1" x14ac:dyDescent="0.15"/>
  <cols>
    <col min="1" max="1" width="2.6640625" style="4" customWidth="1"/>
    <col min="2" max="2" width="49.83203125" customWidth="1"/>
    <col min="3" max="3" width="10.6640625" customWidth="1"/>
    <col min="4" max="4" width="10.6640625" style="2" customWidth="1"/>
    <col min="5" max="5" width="10.6640625" customWidth="1"/>
    <col min="6" max="6" width="2.6640625" customWidth="1"/>
    <col min="7" max="7" width="6" hidden="1" customWidth="1"/>
    <col min="8" max="140" width="2.6640625" customWidth="1"/>
    <col min="141" max="142" width="11.33203125" bestFit="1" customWidth="1"/>
  </cols>
  <sheetData>
    <row r="1" spans="1:142" ht="90" customHeight="1" x14ac:dyDescent="0.65">
      <c r="A1" s="5"/>
      <c r="B1" s="112"/>
      <c r="C1" s="7"/>
      <c r="D1" s="8"/>
      <c r="E1" s="9"/>
      <c r="G1" s="1"/>
      <c r="H1" s="129" t="s">
        <v>5</v>
      </c>
      <c r="I1" s="130"/>
      <c r="J1" s="130"/>
      <c r="K1" s="130"/>
      <c r="L1" s="130"/>
      <c r="M1" s="130"/>
      <c r="N1" s="130"/>
      <c r="O1" s="12"/>
      <c r="P1" s="127">
        <f>DATE(2026,5,6)</f>
        <v>46148</v>
      </c>
      <c r="Q1" s="128"/>
      <c r="R1" s="128"/>
      <c r="S1" s="128"/>
      <c r="T1" s="128"/>
      <c r="U1" s="128"/>
      <c r="V1" s="128"/>
      <c r="W1" s="128"/>
      <c r="X1" s="128"/>
      <c r="Y1" s="128"/>
    </row>
    <row r="2" spans="1:142" ht="30" customHeight="1" x14ac:dyDescent="0.4">
      <c r="B2" s="50"/>
      <c r="C2" s="10"/>
      <c r="D2" s="11"/>
      <c r="E2" s="10"/>
      <c r="H2" s="129" t="s">
        <v>6</v>
      </c>
      <c r="I2" s="130"/>
      <c r="J2" s="130"/>
      <c r="K2" s="130"/>
      <c r="L2" s="130"/>
      <c r="M2" s="130"/>
      <c r="N2" s="130"/>
      <c r="O2" s="12"/>
      <c r="P2" s="125">
        <v>1</v>
      </c>
      <c r="Q2" s="126"/>
      <c r="R2" s="126"/>
      <c r="S2" s="126"/>
      <c r="T2" s="126"/>
      <c r="U2" s="126"/>
      <c r="V2" s="126"/>
      <c r="W2" s="126"/>
      <c r="X2" s="126"/>
      <c r="Y2" s="126"/>
    </row>
    <row r="3" spans="1:142" s="14" customFormat="1" ht="30" customHeight="1" x14ac:dyDescent="0.15">
      <c r="A3" s="4"/>
      <c r="B3" s="13"/>
      <c r="C3" s="15"/>
      <c r="D3" s="16"/>
    </row>
    <row r="4" spans="1:142" s="14" customFormat="1" ht="30" customHeight="1" x14ac:dyDescent="0.15">
      <c r="A4" s="5"/>
      <c r="B4" s="17"/>
      <c r="D4" s="18"/>
      <c r="H4" s="124" t="s">
        <v>54</v>
      </c>
      <c r="I4" s="124"/>
      <c r="J4" s="124"/>
      <c r="K4" s="124"/>
      <c r="L4" s="124"/>
      <c r="M4" s="124"/>
      <c r="N4" s="124"/>
      <c r="O4" s="124"/>
      <c r="P4" s="124"/>
      <c r="Q4" s="124"/>
      <c r="R4" s="124"/>
      <c r="S4" s="124"/>
      <c r="T4" s="124"/>
      <c r="U4" s="124"/>
      <c r="V4" s="124"/>
      <c r="W4" s="124"/>
      <c r="X4" s="124"/>
      <c r="Y4" s="124"/>
      <c r="Z4" s="124"/>
      <c r="AA4" s="124"/>
      <c r="AB4" s="124"/>
      <c r="AC4" s="124"/>
      <c r="AD4" s="124"/>
      <c r="AE4" s="124"/>
      <c r="AF4" s="124"/>
      <c r="AG4" s="124"/>
      <c r="AH4" s="124"/>
      <c r="AI4" s="124"/>
      <c r="AJ4" s="124" t="s">
        <v>55</v>
      </c>
      <c r="AK4" s="124"/>
      <c r="AL4" s="124"/>
      <c r="AM4" s="124"/>
      <c r="AN4" s="124"/>
      <c r="AO4" s="124"/>
      <c r="AP4" s="124"/>
      <c r="AQ4" s="124"/>
      <c r="AR4" s="124"/>
      <c r="AS4" s="124"/>
      <c r="AT4" s="124"/>
      <c r="AU4" s="124"/>
      <c r="AV4" s="124"/>
      <c r="AW4" s="124"/>
      <c r="AX4" s="124"/>
      <c r="AY4" s="124"/>
      <c r="AZ4" s="124"/>
      <c r="BA4" s="124"/>
      <c r="BB4" s="124"/>
      <c r="BC4" s="124"/>
      <c r="BD4" s="124"/>
      <c r="BE4" s="124"/>
      <c r="BF4" s="124"/>
      <c r="BG4" s="124"/>
      <c r="BH4" s="124"/>
      <c r="BI4" s="124"/>
      <c r="BJ4" s="124"/>
      <c r="BK4" s="124"/>
      <c r="BL4" s="124"/>
      <c r="BM4" s="124"/>
      <c r="BN4" s="124" t="s">
        <v>56</v>
      </c>
      <c r="BO4" s="124"/>
      <c r="BP4" s="124"/>
      <c r="BQ4" s="124"/>
      <c r="BR4" s="124"/>
      <c r="BS4" s="124"/>
      <c r="BT4" s="124"/>
      <c r="BU4" s="124"/>
      <c r="BV4" s="124"/>
      <c r="BW4" s="124"/>
      <c r="BX4" s="124"/>
      <c r="BY4" s="124"/>
      <c r="BZ4" s="124"/>
      <c r="CA4" s="124"/>
      <c r="CB4" s="124"/>
      <c r="CC4" s="124"/>
      <c r="CD4" s="124"/>
      <c r="CE4" s="124"/>
      <c r="CF4" s="124"/>
      <c r="CG4" s="124"/>
      <c r="CH4" s="124"/>
      <c r="CI4" s="124"/>
      <c r="CJ4" s="124"/>
      <c r="CK4" s="124"/>
      <c r="CL4" s="124"/>
      <c r="CM4" s="124"/>
      <c r="CN4" s="124"/>
      <c r="CO4" s="124"/>
      <c r="CP4" s="124"/>
      <c r="CQ4" s="124"/>
      <c r="CR4" s="124"/>
      <c r="CS4" s="124" t="s">
        <v>57</v>
      </c>
      <c r="CT4" s="124"/>
      <c r="CU4" s="124"/>
      <c r="CV4" s="124"/>
      <c r="CW4" s="124"/>
      <c r="CX4" s="124"/>
      <c r="CY4" s="124"/>
      <c r="CZ4" s="124"/>
      <c r="DA4" s="124"/>
      <c r="DB4" s="124"/>
      <c r="DC4" s="124"/>
      <c r="DD4" s="124"/>
      <c r="DE4" s="124"/>
      <c r="DF4" s="124"/>
      <c r="DG4" s="124"/>
      <c r="DH4" s="124"/>
      <c r="DI4" s="124"/>
      <c r="DJ4" s="124"/>
      <c r="DK4" s="124"/>
      <c r="DL4" s="124"/>
      <c r="DM4" s="124"/>
      <c r="DN4" s="124"/>
      <c r="DO4" s="124"/>
      <c r="DP4" s="124"/>
      <c r="DQ4" s="124"/>
      <c r="DR4" s="124"/>
      <c r="DS4" s="124"/>
      <c r="DT4" s="124"/>
      <c r="DU4" s="124"/>
      <c r="DV4" s="124"/>
      <c r="DW4" s="124"/>
      <c r="DX4" s="124" t="s">
        <v>58</v>
      </c>
      <c r="DY4" s="124"/>
      <c r="DZ4" s="124"/>
      <c r="EA4" s="124"/>
      <c r="EB4" s="124"/>
      <c r="EC4" s="124"/>
      <c r="ED4" s="124"/>
      <c r="EE4" s="124"/>
      <c r="EF4" s="124"/>
      <c r="EG4" s="124"/>
      <c r="EH4" s="124"/>
      <c r="EI4" s="124"/>
      <c r="EJ4" s="124"/>
    </row>
    <row r="5" spans="1:142" s="14" customFormat="1" ht="15" customHeight="1" x14ac:dyDescent="0.15">
      <c r="A5" s="119"/>
      <c r="B5" s="120" t="s">
        <v>3</v>
      </c>
      <c r="C5" s="122" t="s">
        <v>0</v>
      </c>
      <c r="D5" s="122" t="s">
        <v>1</v>
      </c>
      <c r="E5" s="122" t="s">
        <v>2</v>
      </c>
      <c r="H5" s="116">
        <f>Project_Start-WEEKDAY(Project_Start,1)+2+7*(Display_Week-1)</f>
        <v>46146</v>
      </c>
      <c r="I5" s="116">
        <f>H5+1</f>
        <v>46147</v>
      </c>
      <c r="J5" s="116">
        <f t="shared" ref="J5:AW5" si="0">I5+1</f>
        <v>46148</v>
      </c>
      <c r="K5" s="116">
        <f t="shared" si="0"/>
        <v>46149</v>
      </c>
      <c r="L5" s="116">
        <f t="shared" si="0"/>
        <v>46150</v>
      </c>
      <c r="M5" s="116">
        <f t="shared" si="0"/>
        <v>46151</v>
      </c>
      <c r="N5" s="117">
        <f t="shared" si="0"/>
        <v>46152</v>
      </c>
      <c r="O5" s="118">
        <f>N5+1</f>
        <v>46153</v>
      </c>
      <c r="P5" s="116">
        <f>O5+1</f>
        <v>46154</v>
      </c>
      <c r="Q5" s="116">
        <f t="shared" si="0"/>
        <v>46155</v>
      </c>
      <c r="R5" s="116">
        <f t="shared" si="0"/>
        <v>46156</v>
      </c>
      <c r="S5" s="116">
        <f t="shared" si="0"/>
        <v>46157</v>
      </c>
      <c r="T5" s="116">
        <f t="shared" si="0"/>
        <v>46158</v>
      </c>
      <c r="U5" s="117">
        <f t="shared" si="0"/>
        <v>46159</v>
      </c>
      <c r="V5" s="118">
        <f>U5+1</f>
        <v>46160</v>
      </c>
      <c r="W5" s="116">
        <f>V5+1</f>
        <v>46161</v>
      </c>
      <c r="X5" s="116">
        <f t="shared" si="0"/>
        <v>46162</v>
      </c>
      <c r="Y5" s="116">
        <f t="shared" si="0"/>
        <v>46163</v>
      </c>
      <c r="Z5" s="116">
        <f t="shared" si="0"/>
        <v>46164</v>
      </c>
      <c r="AA5" s="116">
        <f t="shared" si="0"/>
        <v>46165</v>
      </c>
      <c r="AB5" s="117">
        <f t="shared" si="0"/>
        <v>46166</v>
      </c>
      <c r="AC5" s="118">
        <f>AB5+1</f>
        <v>46167</v>
      </c>
      <c r="AD5" s="116">
        <f>AC5+1</f>
        <v>46168</v>
      </c>
      <c r="AE5" s="116">
        <f t="shared" si="0"/>
        <v>46169</v>
      </c>
      <c r="AF5" s="116">
        <f t="shared" si="0"/>
        <v>46170</v>
      </c>
      <c r="AG5" s="116">
        <f t="shared" si="0"/>
        <v>46171</v>
      </c>
      <c r="AH5" s="116">
        <f t="shared" si="0"/>
        <v>46172</v>
      </c>
      <c r="AI5" s="117">
        <f t="shared" si="0"/>
        <v>46173</v>
      </c>
      <c r="AJ5" s="118">
        <f>AI5+1</f>
        <v>46174</v>
      </c>
      <c r="AK5" s="116">
        <f>AJ5+1</f>
        <v>46175</v>
      </c>
      <c r="AL5" s="116">
        <f t="shared" si="0"/>
        <v>46176</v>
      </c>
      <c r="AM5" s="116">
        <f t="shared" si="0"/>
        <v>46177</v>
      </c>
      <c r="AN5" s="116">
        <f t="shared" si="0"/>
        <v>46178</v>
      </c>
      <c r="AO5" s="116">
        <f t="shared" si="0"/>
        <v>46179</v>
      </c>
      <c r="AP5" s="117">
        <f t="shared" si="0"/>
        <v>46180</v>
      </c>
      <c r="AQ5" s="118">
        <f>AP5+1</f>
        <v>46181</v>
      </c>
      <c r="AR5" s="116">
        <f>AQ5+1</f>
        <v>46182</v>
      </c>
      <c r="AS5" s="116">
        <f t="shared" si="0"/>
        <v>46183</v>
      </c>
      <c r="AT5" s="116">
        <f t="shared" si="0"/>
        <v>46184</v>
      </c>
      <c r="AU5" s="116">
        <f t="shared" si="0"/>
        <v>46185</v>
      </c>
      <c r="AV5" s="116">
        <f t="shared" si="0"/>
        <v>46186</v>
      </c>
      <c r="AW5" s="117">
        <f t="shared" si="0"/>
        <v>46187</v>
      </c>
      <c r="AX5" s="118">
        <f>AW5+1</f>
        <v>46188</v>
      </c>
      <c r="AY5" s="116">
        <f>AX5+1</f>
        <v>46189</v>
      </c>
      <c r="AZ5" s="116">
        <f t="shared" ref="AZ5:BD5" si="1">AY5+1</f>
        <v>46190</v>
      </c>
      <c r="BA5" s="116">
        <f t="shared" si="1"/>
        <v>46191</v>
      </c>
      <c r="BB5" s="116">
        <f t="shared" si="1"/>
        <v>46192</v>
      </c>
      <c r="BC5" s="116">
        <f t="shared" si="1"/>
        <v>46193</v>
      </c>
      <c r="BD5" s="117">
        <f t="shared" si="1"/>
        <v>46194</v>
      </c>
      <c r="BE5" s="118">
        <f>BD5+1</f>
        <v>46195</v>
      </c>
      <c r="BF5" s="116">
        <f>BE5+1</f>
        <v>46196</v>
      </c>
      <c r="BG5" s="116">
        <f t="shared" ref="BG5:BK5" si="2">BF5+1</f>
        <v>46197</v>
      </c>
      <c r="BH5" s="116">
        <f t="shared" si="2"/>
        <v>46198</v>
      </c>
      <c r="BI5" s="116">
        <f t="shared" si="2"/>
        <v>46199</v>
      </c>
      <c r="BJ5" s="116">
        <f t="shared" si="2"/>
        <v>46200</v>
      </c>
      <c r="BK5" s="116">
        <f t="shared" si="2"/>
        <v>46201</v>
      </c>
      <c r="BL5" s="118">
        <f>BK5+1</f>
        <v>46202</v>
      </c>
      <c r="BM5" s="116">
        <f>BL5+1</f>
        <v>46203</v>
      </c>
      <c r="BN5" s="116">
        <f t="shared" ref="BN5" si="3">BM5+1</f>
        <v>46204</v>
      </c>
      <c r="BO5" s="116">
        <f t="shared" ref="BO5" si="4">BN5+1</f>
        <v>46205</v>
      </c>
      <c r="BP5" s="116">
        <f t="shared" ref="BP5" si="5">BO5+1</f>
        <v>46206</v>
      </c>
      <c r="BQ5" s="116">
        <f t="shared" ref="BQ5" si="6">BP5+1</f>
        <v>46207</v>
      </c>
      <c r="BR5" s="116">
        <f t="shared" ref="BR5:BT5" si="7">BQ5+1</f>
        <v>46208</v>
      </c>
      <c r="BS5" s="118">
        <f t="shared" si="7"/>
        <v>46209</v>
      </c>
      <c r="BT5" s="116">
        <f t="shared" si="7"/>
        <v>46210</v>
      </c>
      <c r="BU5" s="116">
        <f t="shared" ref="BU5" si="8">BT5+1</f>
        <v>46211</v>
      </c>
      <c r="BV5" s="116">
        <f t="shared" ref="BV5" si="9">BU5+1</f>
        <v>46212</v>
      </c>
      <c r="BW5" s="116">
        <f t="shared" ref="BW5" si="10">BV5+1</f>
        <v>46213</v>
      </c>
      <c r="BX5" s="116">
        <f t="shared" ref="BX5" si="11">BW5+1</f>
        <v>46214</v>
      </c>
      <c r="BY5" s="116">
        <f t="shared" ref="BY5:CA5" si="12">BX5+1</f>
        <v>46215</v>
      </c>
      <c r="BZ5" s="118">
        <f t="shared" si="12"/>
        <v>46216</v>
      </c>
      <c r="CA5" s="116">
        <f t="shared" si="12"/>
        <v>46217</v>
      </c>
      <c r="CB5" s="116">
        <f t="shared" ref="CB5" si="13">CA5+1</f>
        <v>46218</v>
      </c>
      <c r="CC5" s="116">
        <f t="shared" ref="CC5" si="14">CB5+1</f>
        <v>46219</v>
      </c>
      <c r="CD5" s="116">
        <f t="shared" ref="CD5" si="15">CC5+1</f>
        <v>46220</v>
      </c>
      <c r="CE5" s="116">
        <f t="shared" ref="CE5" si="16">CD5+1</f>
        <v>46221</v>
      </c>
      <c r="CF5" s="116">
        <f t="shared" ref="CF5:CH5" si="17">CE5+1</f>
        <v>46222</v>
      </c>
      <c r="CG5" s="118">
        <f t="shared" si="17"/>
        <v>46223</v>
      </c>
      <c r="CH5" s="116">
        <f t="shared" si="17"/>
        <v>46224</v>
      </c>
      <c r="CI5" s="116">
        <f t="shared" ref="CI5" si="18">CH5+1</f>
        <v>46225</v>
      </c>
      <c r="CJ5" s="116">
        <f t="shared" ref="CJ5" si="19">CI5+1</f>
        <v>46226</v>
      </c>
      <c r="CK5" s="116">
        <f t="shared" ref="CK5" si="20">CJ5+1</f>
        <v>46227</v>
      </c>
      <c r="CL5" s="116">
        <f t="shared" ref="CL5" si="21">CK5+1</f>
        <v>46228</v>
      </c>
      <c r="CM5" s="116">
        <f t="shared" ref="CM5:CO5" si="22">CL5+1</f>
        <v>46229</v>
      </c>
      <c r="CN5" s="118">
        <f t="shared" si="22"/>
        <v>46230</v>
      </c>
      <c r="CO5" s="116">
        <f t="shared" si="22"/>
        <v>46231</v>
      </c>
      <c r="CP5" s="116">
        <f t="shared" ref="CP5" si="23">CO5+1</f>
        <v>46232</v>
      </c>
      <c r="CQ5" s="116">
        <f t="shared" ref="CQ5" si="24">CP5+1</f>
        <v>46233</v>
      </c>
      <c r="CR5" s="116">
        <f t="shared" ref="CR5" si="25">CQ5+1</f>
        <v>46234</v>
      </c>
      <c r="CS5" s="116">
        <f t="shared" ref="CS5" si="26">CR5+1</f>
        <v>46235</v>
      </c>
      <c r="CT5" s="116">
        <f t="shared" ref="CT5:CV5" si="27">CS5+1</f>
        <v>46236</v>
      </c>
      <c r="CU5" s="118">
        <f t="shared" si="27"/>
        <v>46237</v>
      </c>
      <c r="CV5" s="116">
        <f t="shared" si="27"/>
        <v>46238</v>
      </c>
      <c r="CW5" s="116">
        <f t="shared" ref="CW5" si="28">CV5+1</f>
        <v>46239</v>
      </c>
      <c r="CX5" s="116">
        <f t="shared" ref="CX5" si="29">CW5+1</f>
        <v>46240</v>
      </c>
      <c r="CY5" s="116">
        <f t="shared" ref="CY5" si="30">CX5+1</f>
        <v>46241</v>
      </c>
      <c r="CZ5" s="116">
        <f t="shared" ref="CZ5" si="31">CY5+1</f>
        <v>46242</v>
      </c>
      <c r="DA5" s="116">
        <f t="shared" ref="DA5:DC5" si="32">CZ5+1</f>
        <v>46243</v>
      </c>
      <c r="DB5" s="118">
        <f t="shared" si="32"/>
        <v>46244</v>
      </c>
      <c r="DC5" s="116">
        <f t="shared" si="32"/>
        <v>46245</v>
      </c>
      <c r="DD5" s="116">
        <f t="shared" ref="DD5" si="33">DC5+1</f>
        <v>46246</v>
      </c>
      <c r="DE5" s="116">
        <f t="shared" ref="DE5" si="34">DD5+1</f>
        <v>46247</v>
      </c>
      <c r="DF5" s="116">
        <f t="shared" ref="DF5" si="35">DE5+1</f>
        <v>46248</v>
      </c>
      <c r="DG5" s="116">
        <f t="shared" ref="DG5" si="36">DF5+1</f>
        <v>46249</v>
      </c>
      <c r="DH5" s="116">
        <f t="shared" ref="DH5:DJ5" si="37">DG5+1</f>
        <v>46250</v>
      </c>
      <c r="DI5" s="118">
        <f t="shared" si="37"/>
        <v>46251</v>
      </c>
      <c r="DJ5" s="116">
        <f t="shared" si="37"/>
        <v>46252</v>
      </c>
      <c r="DK5" s="116">
        <f t="shared" ref="DK5" si="38">DJ5+1</f>
        <v>46253</v>
      </c>
      <c r="DL5" s="116">
        <f t="shared" ref="DL5" si="39">DK5+1</f>
        <v>46254</v>
      </c>
      <c r="DM5" s="116">
        <f t="shared" ref="DM5" si="40">DL5+1</f>
        <v>46255</v>
      </c>
      <c r="DN5" s="116">
        <f t="shared" ref="DN5" si="41">DM5+1</f>
        <v>46256</v>
      </c>
      <c r="DO5" s="116">
        <f t="shared" ref="DO5:DQ5" si="42">DN5+1</f>
        <v>46257</v>
      </c>
      <c r="DP5" s="118">
        <f t="shared" si="42"/>
        <v>46258</v>
      </c>
      <c r="DQ5" s="116">
        <f t="shared" si="42"/>
        <v>46259</v>
      </c>
      <c r="DR5" s="116">
        <f t="shared" ref="DR5" si="43">DQ5+1</f>
        <v>46260</v>
      </c>
      <c r="DS5" s="116">
        <f t="shared" ref="DS5" si="44">DR5+1</f>
        <v>46261</v>
      </c>
      <c r="DT5" s="116">
        <f t="shared" ref="DT5" si="45">DS5+1</f>
        <v>46262</v>
      </c>
      <c r="DU5" s="116">
        <f t="shared" ref="DU5" si="46">DT5+1</f>
        <v>46263</v>
      </c>
      <c r="DV5" s="116">
        <f t="shared" ref="DV5:DX5" si="47">DU5+1</f>
        <v>46264</v>
      </c>
      <c r="DW5" s="118">
        <f t="shared" si="47"/>
        <v>46265</v>
      </c>
      <c r="DX5" s="116">
        <f t="shared" si="47"/>
        <v>46266</v>
      </c>
      <c r="DY5" s="116">
        <f t="shared" ref="DY5" si="48">DX5+1</f>
        <v>46267</v>
      </c>
      <c r="DZ5" s="116">
        <f t="shared" ref="DZ5" si="49">DY5+1</f>
        <v>46268</v>
      </c>
      <c r="EA5" s="116">
        <f t="shared" ref="EA5" si="50">DZ5+1</f>
        <v>46269</v>
      </c>
      <c r="EB5" s="116">
        <f t="shared" ref="EB5" si="51">EA5+1</f>
        <v>46270</v>
      </c>
      <c r="EC5" s="116">
        <f t="shared" ref="EC5" si="52">EB5+1</f>
        <v>46271</v>
      </c>
      <c r="ED5" s="118">
        <f t="shared" ref="ED5" si="53">EC5+1</f>
        <v>46272</v>
      </c>
      <c r="EE5" s="116">
        <f t="shared" ref="EE5" si="54">ED5+1</f>
        <v>46273</v>
      </c>
      <c r="EF5" s="116">
        <f t="shared" ref="EF5" si="55">EE5+1</f>
        <v>46274</v>
      </c>
      <c r="EG5" s="116">
        <f t="shared" ref="EG5" si="56">EF5+1</f>
        <v>46275</v>
      </c>
      <c r="EH5" s="116">
        <f t="shared" ref="EH5" si="57">EG5+1</f>
        <v>46276</v>
      </c>
      <c r="EI5" s="116">
        <f t="shared" ref="EI5" si="58">EH5+1</f>
        <v>46277</v>
      </c>
      <c r="EJ5" s="116">
        <f t="shared" ref="EJ5" si="59">EI5+1</f>
        <v>46278</v>
      </c>
    </row>
    <row r="6" spans="1:142" s="14" customFormat="1" ht="15" customHeight="1" thickBot="1" x14ac:dyDescent="0.2">
      <c r="A6" s="119"/>
      <c r="B6" s="121"/>
      <c r="C6" s="123"/>
      <c r="D6" s="123"/>
      <c r="E6" s="123"/>
      <c r="H6" s="19" t="str">
        <f t="shared" ref="H6:AM6" si="60">LEFT(TEXT(H5,"ddd"),1)</f>
        <v>M</v>
      </c>
      <c r="I6" s="20" t="str">
        <f t="shared" si="60"/>
        <v>T</v>
      </c>
      <c r="J6" s="20" t="str">
        <f t="shared" si="60"/>
        <v>W</v>
      </c>
      <c r="K6" s="20" t="str">
        <f t="shared" si="60"/>
        <v>T</v>
      </c>
      <c r="L6" s="20" t="str">
        <f t="shared" si="60"/>
        <v>F</v>
      </c>
      <c r="M6" s="20" t="str">
        <f t="shared" si="60"/>
        <v>S</v>
      </c>
      <c r="N6" s="20" t="str">
        <f t="shared" si="60"/>
        <v>S</v>
      </c>
      <c r="O6" s="20" t="str">
        <f t="shared" si="60"/>
        <v>M</v>
      </c>
      <c r="P6" s="20" t="str">
        <f t="shared" si="60"/>
        <v>T</v>
      </c>
      <c r="Q6" s="20" t="str">
        <f t="shared" si="60"/>
        <v>W</v>
      </c>
      <c r="R6" s="20" t="str">
        <f t="shared" si="60"/>
        <v>T</v>
      </c>
      <c r="S6" s="20" t="str">
        <f t="shared" si="60"/>
        <v>F</v>
      </c>
      <c r="T6" s="20" t="str">
        <f t="shared" si="60"/>
        <v>S</v>
      </c>
      <c r="U6" s="20" t="str">
        <f t="shared" si="60"/>
        <v>S</v>
      </c>
      <c r="V6" s="20" t="str">
        <f t="shared" si="60"/>
        <v>M</v>
      </c>
      <c r="W6" s="20" t="str">
        <f t="shared" si="60"/>
        <v>T</v>
      </c>
      <c r="X6" s="20" t="str">
        <f t="shared" si="60"/>
        <v>W</v>
      </c>
      <c r="Y6" s="20" t="str">
        <f t="shared" si="60"/>
        <v>T</v>
      </c>
      <c r="Z6" s="20" t="str">
        <f t="shared" si="60"/>
        <v>F</v>
      </c>
      <c r="AA6" s="20" t="str">
        <f t="shared" si="60"/>
        <v>S</v>
      </c>
      <c r="AB6" s="20" t="str">
        <f t="shared" si="60"/>
        <v>S</v>
      </c>
      <c r="AC6" s="20" t="str">
        <f t="shared" si="60"/>
        <v>M</v>
      </c>
      <c r="AD6" s="20" t="str">
        <f t="shared" si="60"/>
        <v>T</v>
      </c>
      <c r="AE6" s="20" t="str">
        <f t="shared" si="60"/>
        <v>W</v>
      </c>
      <c r="AF6" s="20" t="str">
        <f t="shared" si="60"/>
        <v>T</v>
      </c>
      <c r="AG6" s="20" t="str">
        <f t="shared" si="60"/>
        <v>F</v>
      </c>
      <c r="AH6" s="20" t="str">
        <f t="shared" si="60"/>
        <v>S</v>
      </c>
      <c r="AI6" s="20" t="str">
        <f t="shared" si="60"/>
        <v>S</v>
      </c>
      <c r="AJ6" s="20" t="str">
        <f t="shared" si="60"/>
        <v>M</v>
      </c>
      <c r="AK6" s="20" t="str">
        <f t="shared" si="60"/>
        <v>T</v>
      </c>
      <c r="AL6" s="20" t="str">
        <f t="shared" si="60"/>
        <v>W</v>
      </c>
      <c r="AM6" s="20" t="str">
        <f t="shared" si="60"/>
        <v>T</v>
      </c>
      <c r="AN6" s="20" t="str">
        <f t="shared" ref="AN6:BK6" si="61">LEFT(TEXT(AN5,"ddd"),1)</f>
        <v>F</v>
      </c>
      <c r="AO6" s="20" t="str">
        <f t="shared" si="61"/>
        <v>S</v>
      </c>
      <c r="AP6" s="20" t="str">
        <f t="shared" si="61"/>
        <v>S</v>
      </c>
      <c r="AQ6" s="20" t="str">
        <f t="shared" si="61"/>
        <v>M</v>
      </c>
      <c r="AR6" s="20" t="str">
        <f t="shared" si="61"/>
        <v>T</v>
      </c>
      <c r="AS6" s="20" t="str">
        <f t="shared" si="61"/>
        <v>W</v>
      </c>
      <c r="AT6" s="20" t="str">
        <f t="shared" si="61"/>
        <v>T</v>
      </c>
      <c r="AU6" s="20" t="str">
        <f t="shared" si="61"/>
        <v>F</v>
      </c>
      <c r="AV6" s="20" t="str">
        <f t="shared" si="61"/>
        <v>S</v>
      </c>
      <c r="AW6" s="20" t="str">
        <f t="shared" si="61"/>
        <v>S</v>
      </c>
      <c r="AX6" s="20" t="str">
        <f t="shared" si="61"/>
        <v>M</v>
      </c>
      <c r="AY6" s="20" t="str">
        <f t="shared" si="61"/>
        <v>T</v>
      </c>
      <c r="AZ6" s="20" t="str">
        <f t="shared" si="61"/>
        <v>W</v>
      </c>
      <c r="BA6" s="20" t="str">
        <f t="shared" si="61"/>
        <v>T</v>
      </c>
      <c r="BB6" s="20" t="str">
        <f t="shared" si="61"/>
        <v>F</v>
      </c>
      <c r="BC6" s="20" t="str">
        <f t="shared" si="61"/>
        <v>S</v>
      </c>
      <c r="BD6" s="20" t="str">
        <f t="shared" si="61"/>
        <v>S</v>
      </c>
      <c r="BE6" s="20" t="str">
        <f t="shared" si="61"/>
        <v>M</v>
      </c>
      <c r="BF6" s="20" t="str">
        <f t="shared" si="61"/>
        <v>T</v>
      </c>
      <c r="BG6" s="20" t="str">
        <f t="shared" si="61"/>
        <v>W</v>
      </c>
      <c r="BH6" s="20" t="str">
        <f t="shared" si="61"/>
        <v>T</v>
      </c>
      <c r="BI6" s="20" t="str">
        <f t="shared" si="61"/>
        <v>F</v>
      </c>
      <c r="BJ6" s="20" t="str">
        <f t="shared" si="61"/>
        <v>S</v>
      </c>
      <c r="BK6" s="21" t="str">
        <f t="shared" si="61"/>
        <v>S</v>
      </c>
      <c r="BL6" s="20" t="str">
        <f t="shared" ref="BL6:BR6" si="62">LEFT(TEXT(BL5,"ddd"),1)</f>
        <v>M</v>
      </c>
      <c r="BM6" s="20" t="str">
        <f t="shared" si="62"/>
        <v>T</v>
      </c>
      <c r="BN6" s="20" t="str">
        <f t="shared" si="62"/>
        <v>W</v>
      </c>
      <c r="BO6" s="20" t="str">
        <f t="shared" si="62"/>
        <v>T</v>
      </c>
      <c r="BP6" s="20" t="str">
        <f t="shared" si="62"/>
        <v>F</v>
      </c>
      <c r="BQ6" s="20" t="str">
        <f t="shared" si="62"/>
        <v>S</v>
      </c>
      <c r="BR6" s="21" t="str">
        <f t="shared" si="62"/>
        <v>S</v>
      </c>
      <c r="BS6" s="20" t="str">
        <f t="shared" ref="BS6:EC6" si="63">LEFT(TEXT(BS5,"ddd"),1)</f>
        <v>M</v>
      </c>
      <c r="BT6" s="20" t="str">
        <f t="shared" si="63"/>
        <v>T</v>
      </c>
      <c r="BU6" s="20" t="str">
        <f t="shared" si="63"/>
        <v>W</v>
      </c>
      <c r="BV6" s="20" t="str">
        <f t="shared" si="63"/>
        <v>T</v>
      </c>
      <c r="BW6" s="20" t="str">
        <f t="shared" si="63"/>
        <v>F</v>
      </c>
      <c r="BX6" s="20" t="str">
        <f t="shared" si="63"/>
        <v>S</v>
      </c>
      <c r="BY6" s="21" t="str">
        <f t="shared" si="63"/>
        <v>S</v>
      </c>
      <c r="BZ6" s="20" t="str">
        <f t="shared" si="63"/>
        <v>M</v>
      </c>
      <c r="CA6" s="20" t="str">
        <f t="shared" si="63"/>
        <v>T</v>
      </c>
      <c r="CB6" s="20" t="str">
        <f t="shared" si="63"/>
        <v>W</v>
      </c>
      <c r="CC6" s="20" t="str">
        <f t="shared" si="63"/>
        <v>T</v>
      </c>
      <c r="CD6" s="20" t="str">
        <f t="shared" si="63"/>
        <v>F</v>
      </c>
      <c r="CE6" s="20" t="str">
        <f t="shared" si="63"/>
        <v>S</v>
      </c>
      <c r="CF6" s="21" t="str">
        <f t="shared" si="63"/>
        <v>S</v>
      </c>
      <c r="CG6" s="20" t="str">
        <f t="shared" si="63"/>
        <v>M</v>
      </c>
      <c r="CH6" s="20" t="str">
        <f t="shared" si="63"/>
        <v>T</v>
      </c>
      <c r="CI6" s="20" t="str">
        <f t="shared" si="63"/>
        <v>W</v>
      </c>
      <c r="CJ6" s="20" t="str">
        <f t="shared" si="63"/>
        <v>T</v>
      </c>
      <c r="CK6" s="20" t="str">
        <f t="shared" si="63"/>
        <v>F</v>
      </c>
      <c r="CL6" s="20" t="str">
        <f t="shared" si="63"/>
        <v>S</v>
      </c>
      <c r="CM6" s="21" t="str">
        <f t="shared" si="63"/>
        <v>S</v>
      </c>
      <c r="CN6" s="20" t="str">
        <f t="shared" si="63"/>
        <v>M</v>
      </c>
      <c r="CO6" s="20" t="str">
        <f t="shared" si="63"/>
        <v>T</v>
      </c>
      <c r="CP6" s="20" t="str">
        <f t="shared" si="63"/>
        <v>W</v>
      </c>
      <c r="CQ6" s="20" t="str">
        <f t="shared" si="63"/>
        <v>T</v>
      </c>
      <c r="CR6" s="20" t="str">
        <f t="shared" si="63"/>
        <v>F</v>
      </c>
      <c r="CS6" s="20" t="str">
        <f t="shared" si="63"/>
        <v>S</v>
      </c>
      <c r="CT6" s="21" t="str">
        <f t="shared" si="63"/>
        <v>S</v>
      </c>
      <c r="CU6" s="20" t="str">
        <f t="shared" si="63"/>
        <v>M</v>
      </c>
      <c r="CV6" s="20" t="str">
        <f t="shared" si="63"/>
        <v>T</v>
      </c>
      <c r="CW6" s="20" t="str">
        <f t="shared" si="63"/>
        <v>W</v>
      </c>
      <c r="CX6" s="20" t="str">
        <f t="shared" si="63"/>
        <v>T</v>
      </c>
      <c r="CY6" s="20" t="str">
        <f t="shared" si="63"/>
        <v>F</v>
      </c>
      <c r="CZ6" s="20" t="str">
        <f t="shared" si="63"/>
        <v>S</v>
      </c>
      <c r="DA6" s="21" t="str">
        <f t="shared" si="63"/>
        <v>S</v>
      </c>
      <c r="DB6" s="20" t="str">
        <f t="shared" si="63"/>
        <v>M</v>
      </c>
      <c r="DC6" s="20" t="str">
        <f t="shared" si="63"/>
        <v>T</v>
      </c>
      <c r="DD6" s="20" t="str">
        <f t="shared" si="63"/>
        <v>W</v>
      </c>
      <c r="DE6" s="20" t="str">
        <f t="shared" si="63"/>
        <v>T</v>
      </c>
      <c r="DF6" s="20" t="str">
        <f t="shared" si="63"/>
        <v>F</v>
      </c>
      <c r="DG6" s="20" t="str">
        <f t="shared" si="63"/>
        <v>S</v>
      </c>
      <c r="DH6" s="21" t="str">
        <f t="shared" si="63"/>
        <v>S</v>
      </c>
      <c r="DI6" s="20" t="str">
        <f t="shared" si="63"/>
        <v>M</v>
      </c>
      <c r="DJ6" s="20" t="str">
        <f t="shared" si="63"/>
        <v>T</v>
      </c>
      <c r="DK6" s="20" t="str">
        <f t="shared" si="63"/>
        <v>W</v>
      </c>
      <c r="DL6" s="20" t="str">
        <f t="shared" si="63"/>
        <v>T</v>
      </c>
      <c r="DM6" s="20" t="str">
        <f t="shared" si="63"/>
        <v>F</v>
      </c>
      <c r="DN6" s="20" t="str">
        <f t="shared" si="63"/>
        <v>S</v>
      </c>
      <c r="DO6" s="21" t="str">
        <f t="shared" si="63"/>
        <v>S</v>
      </c>
      <c r="DP6" s="20" t="str">
        <f t="shared" si="63"/>
        <v>M</v>
      </c>
      <c r="DQ6" s="20" t="str">
        <f t="shared" si="63"/>
        <v>T</v>
      </c>
      <c r="DR6" s="20" t="str">
        <f t="shared" si="63"/>
        <v>W</v>
      </c>
      <c r="DS6" s="20" t="str">
        <f t="shared" si="63"/>
        <v>T</v>
      </c>
      <c r="DT6" s="20" t="str">
        <f t="shared" si="63"/>
        <v>F</v>
      </c>
      <c r="DU6" s="20" t="str">
        <f t="shared" si="63"/>
        <v>S</v>
      </c>
      <c r="DV6" s="21" t="str">
        <f t="shared" si="63"/>
        <v>S</v>
      </c>
      <c r="DW6" s="20" t="str">
        <f t="shared" si="63"/>
        <v>M</v>
      </c>
      <c r="DX6" s="20" t="str">
        <f t="shared" si="63"/>
        <v>T</v>
      </c>
      <c r="DY6" s="20" t="str">
        <f t="shared" si="63"/>
        <v>W</v>
      </c>
      <c r="DZ6" s="20" t="str">
        <f t="shared" si="63"/>
        <v>T</v>
      </c>
      <c r="EA6" s="20" t="str">
        <f t="shared" si="63"/>
        <v>F</v>
      </c>
      <c r="EB6" s="20" t="str">
        <f t="shared" si="63"/>
        <v>S</v>
      </c>
      <c r="EC6" s="21" t="str">
        <f t="shared" si="63"/>
        <v>S</v>
      </c>
      <c r="ED6" s="20" t="str">
        <f t="shared" ref="ED6:EJ6" si="64">LEFT(TEXT(ED5,"ddd"),1)</f>
        <v>M</v>
      </c>
      <c r="EE6" s="20" t="str">
        <f t="shared" si="64"/>
        <v>T</v>
      </c>
      <c r="EF6" s="20" t="str">
        <f t="shared" si="64"/>
        <v>W</v>
      </c>
      <c r="EG6" s="20" t="str">
        <f t="shared" si="64"/>
        <v>T</v>
      </c>
      <c r="EH6" s="20" t="str">
        <f t="shared" si="64"/>
        <v>F</v>
      </c>
      <c r="EI6" s="20" t="str">
        <f t="shared" si="64"/>
        <v>S</v>
      </c>
      <c r="EJ6" s="21" t="str">
        <f t="shared" si="64"/>
        <v>S</v>
      </c>
    </row>
    <row r="7" spans="1:142" s="14" customFormat="1" ht="30" hidden="1" customHeight="1" thickBot="1" x14ac:dyDescent="0.2">
      <c r="A7" s="4" t="s">
        <v>4</v>
      </c>
      <c r="B7" s="22"/>
      <c r="C7" s="22"/>
      <c r="D7" s="22"/>
      <c r="E7" s="22"/>
      <c r="G7" s="14" t="str">
        <f>IF(OR(ISBLANK(task_start),ISBLANK(task_end)),"",task_end-task_start+1)</f>
        <v/>
      </c>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c r="CT7" s="23"/>
      <c r="CU7" s="23"/>
      <c r="CV7" s="23"/>
      <c r="CW7" s="23"/>
      <c r="CX7" s="23"/>
      <c r="CY7" s="23"/>
      <c r="CZ7" s="23"/>
      <c r="DA7" s="23"/>
      <c r="DB7" s="23"/>
      <c r="DC7" s="23"/>
      <c r="DD7" s="23"/>
      <c r="DE7" s="23"/>
      <c r="DF7" s="23"/>
      <c r="DG7" s="23"/>
      <c r="DH7" s="23"/>
      <c r="DI7" s="23"/>
      <c r="DJ7" s="23"/>
      <c r="DK7" s="23"/>
      <c r="DL7" s="23"/>
      <c r="DM7" s="23"/>
      <c r="DN7" s="23"/>
      <c r="DO7" s="23"/>
      <c r="DP7" s="23"/>
      <c r="DQ7" s="23"/>
      <c r="DR7" s="23"/>
      <c r="DS7" s="23"/>
      <c r="DT7" s="23"/>
      <c r="DU7" s="23"/>
      <c r="DV7" s="23"/>
      <c r="DW7" s="23"/>
      <c r="DX7" s="23"/>
      <c r="DY7" s="23"/>
      <c r="DZ7" s="23"/>
      <c r="EA7" s="23"/>
      <c r="EB7" s="23"/>
      <c r="EC7" s="23"/>
      <c r="ED7" s="23"/>
      <c r="EE7" s="23"/>
      <c r="EF7" s="23"/>
      <c r="EG7" s="23"/>
      <c r="EH7" s="23"/>
      <c r="EI7" s="23"/>
      <c r="EJ7" s="23"/>
    </row>
    <row r="8" spans="1:142" s="29" customFormat="1" ht="30" customHeight="1" thickBot="1" x14ac:dyDescent="0.2">
      <c r="A8" s="5"/>
      <c r="B8" s="24" t="s">
        <v>8</v>
      </c>
      <c r="C8" s="25"/>
      <c r="D8" s="26"/>
      <c r="E8" s="27"/>
      <c r="F8" s="6"/>
      <c r="G8" s="3" t="str">
        <f t="shared" ref="G8:G47" si="65">IF(OR(ISBLANK(task_start),ISBLANK(task_end)),"",task_end-task_start+1)</f>
        <v/>
      </c>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row>
    <row r="9" spans="1:142" s="29" customFormat="1" ht="30" customHeight="1" thickBot="1" x14ac:dyDescent="0.2">
      <c r="A9" s="5"/>
      <c r="B9" s="30" t="s">
        <v>9</v>
      </c>
      <c r="C9" s="31">
        <v>1</v>
      </c>
      <c r="D9" s="51">
        <f>Project_Start</f>
        <v>46148</v>
      </c>
      <c r="E9" s="51">
        <v>46166</v>
      </c>
      <c r="F9" s="6"/>
      <c r="G9" s="3">
        <f t="shared" si="65"/>
        <v>19</v>
      </c>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32"/>
      <c r="CR9" s="32"/>
      <c r="CS9" s="32"/>
      <c r="CT9" s="32"/>
      <c r="CU9" s="32"/>
      <c r="CV9" s="32"/>
      <c r="CW9" s="32"/>
      <c r="CX9" s="32"/>
      <c r="CY9" s="32"/>
      <c r="CZ9" s="32"/>
      <c r="DA9" s="32"/>
      <c r="DB9" s="131" t="s">
        <v>53</v>
      </c>
      <c r="DC9" s="131"/>
      <c r="DD9" s="131"/>
      <c r="DE9" s="131"/>
      <c r="DF9" s="131"/>
      <c r="DG9" s="131"/>
      <c r="DH9" s="131"/>
      <c r="DI9" s="131"/>
      <c r="DJ9" s="131"/>
      <c r="DK9" s="131"/>
      <c r="DL9" s="131"/>
      <c r="DM9" s="131"/>
      <c r="DN9" s="131"/>
      <c r="DO9" s="132"/>
      <c r="DP9" s="114"/>
      <c r="DQ9" s="32"/>
      <c r="DR9" s="32"/>
      <c r="DS9" s="32"/>
      <c r="DT9" s="32"/>
      <c r="DU9" s="32"/>
      <c r="DV9" s="32"/>
      <c r="DW9" s="32"/>
      <c r="DX9" s="32"/>
      <c r="DY9" s="32"/>
      <c r="DZ9" s="32"/>
      <c r="EA9" s="32"/>
      <c r="EB9" s="32"/>
      <c r="EC9" s="32"/>
      <c r="ED9" s="32"/>
      <c r="EE9" s="32"/>
      <c r="EF9" s="32"/>
      <c r="EG9" s="32"/>
      <c r="EH9" s="32"/>
      <c r="EI9" s="32"/>
      <c r="EJ9" s="32"/>
    </row>
    <row r="10" spans="1:142" s="29" customFormat="1" ht="30" customHeight="1" thickBot="1" x14ac:dyDescent="0.2">
      <c r="A10" s="5"/>
      <c r="B10" s="30" t="s">
        <v>49</v>
      </c>
      <c r="C10" s="31">
        <v>1</v>
      </c>
      <c r="D10" s="51">
        <v>46152</v>
      </c>
      <c r="E10" s="51">
        <v>46153</v>
      </c>
      <c r="F10" s="6"/>
      <c r="G10" s="3"/>
      <c r="H10" s="32"/>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c r="BK10" s="32"/>
      <c r="BL10" s="32"/>
      <c r="BM10" s="32"/>
      <c r="BN10" s="32"/>
      <c r="BO10" s="32"/>
      <c r="BP10" s="32"/>
      <c r="BQ10" s="32"/>
      <c r="BR10" s="32"/>
      <c r="BS10" s="32"/>
      <c r="BT10" s="32"/>
      <c r="BU10" s="32"/>
      <c r="BV10" s="32"/>
      <c r="BW10" s="32"/>
      <c r="BX10" s="32"/>
      <c r="BY10" s="32"/>
      <c r="BZ10" s="32"/>
      <c r="CA10" s="32"/>
      <c r="CB10" s="32"/>
      <c r="CC10" s="32"/>
      <c r="CD10" s="32"/>
      <c r="CE10" s="32"/>
      <c r="CF10" s="32"/>
      <c r="CG10" s="32"/>
      <c r="CH10" s="32"/>
      <c r="CI10" s="32"/>
      <c r="CJ10" s="32"/>
      <c r="CK10" s="32"/>
      <c r="CL10" s="32"/>
      <c r="CM10" s="32"/>
      <c r="CN10" s="32"/>
      <c r="CO10" s="32"/>
      <c r="CP10" s="32"/>
      <c r="CQ10" s="32"/>
      <c r="CR10" s="32"/>
      <c r="CS10" s="32"/>
      <c r="CT10" s="32"/>
      <c r="CU10" s="32"/>
      <c r="CV10" s="32"/>
      <c r="CW10" s="32"/>
      <c r="CX10" s="32"/>
      <c r="CY10" s="32"/>
      <c r="CZ10" s="32"/>
      <c r="DA10" s="32"/>
      <c r="DB10" s="131"/>
      <c r="DC10" s="131"/>
      <c r="DD10" s="131"/>
      <c r="DE10" s="131"/>
      <c r="DF10" s="131"/>
      <c r="DG10" s="131"/>
      <c r="DH10" s="131"/>
      <c r="DI10" s="131"/>
      <c r="DJ10" s="131"/>
      <c r="DK10" s="131"/>
      <c r="DL10" s="131"/>
      <c r="DM10" s="131"/>
      <c r="DN10" s="131"/>
      <c r="DO10" s="132"/>
      <c r="DP10" s="114"/>
      <c r="DQ10" s="32"/>
      <c r="DR10" s="32"/>
      <c r="DS10" s="32"/>
      <c r="DT10" s="32"/>
      <c r="DU10" s="32"/>
      <c r="DV10" s="32"/>
      <c r="DW10" s="32"/>
      <c r="DX10" s="32"/>
      <c r="DY10" s="32"/>
      <c r="DZ10" s="32"/>
      <c r="EA10" s="32"/>
      <c r="EB10" s="32"/>
      <c r="EC10" s="32"/>
      <c r="ED10" s="32"/>
      <c r="EE10" s="32"/>
      <c r="EF10" s="32"/>
      <c r="EG10" s="32"/>
      <c r="EH10" s="32"/>
      <c r="EI10" s="32"/>
      <c r="EJ10" s="32"/>
      <c r="EK10" s="113">
        <f>D11+7</f>
        <v>46174</v>
      </c>
      <c r="EL10" s="113">
        <f>E11+7</f>
        <v>46187</v>
      </c>
    </row>
    <row r="11" spans="1:142" s="29" customFormat="1" ht="30" customHeight="1" thickBot="1" x14ac:dyDescent="0.2">
      <c r="A11" s="5"/>
      <c r="B11" s="33" t="s">
        <v>12</v>
      </c>
      <c r="C11" s="34">
        <v>1</v>
      </c>
      <c r="D11" s="52">
        <v>46167</v>
      </c>
      <c r="E11" s="52">
        <v>46180</v>
      </c>
      <c r="F11" s="6"/>
      <c r="G11" s="3">
        <f t="shared" si="65"/>
        <v>14</v>
      </c>
      <c r="H11" s="32"/>
      <c r="I11" s="32"/>
      <c r="J11" s="32"/>
      <c r="K11" s="32"/>
      <c r="L11" s="32"/>
      <c r="M11" s="32"/>
      <c r="N11" s="32"/>
      <c r="O11" s="32"/>
      <c r="P11" s="32"/>
      <c r="Q11" s="32"/>
      <c r="R11" s="32"/>
      <c r="S11" s="32"/>
      <c r="T11" s="35"/>
      <c r="U11" s="35"/>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c r="BK11" s="32"/>
      <c r="BL11" s="32"/>
      <c r="BM11" s="32"/>
      <c r="BN11" s="32"/>
      <c r="BO11" s="32"/>
      <c r="BP11" s="32"/>
      <c r="BQ11" s="32"/>
      <c r="BR11" s="32"/>
      <c r="BS11" s="32"/>
      <c r="BT11" s="32"/>
      <c r="BU11" s="32"/>
      <c r="BV11" s="32"/>
      <c r="BW11" s="32"/>
      <c r="BX11" s="32"/>
      <c r="BY11" s="32"/>
      <c r="BZ11" s="32"/>
      <c r="CA11" s="32"/>
      <c r="CB11" s="32"/>
      <c r="CC11" s="32"/>
      <c r="CD11" s="32"/>
      <c r="CE11" s="32"/>
      <c r="CF11" s="32"/>
      <c r="CG11" s="32"/>
      <c r="CH11" s="32"/>
      <c r="CI11" s="32"/>
      <c r="CJ11" s="32"/>
      <c r="CK11" s="32"/>
      <c r="CL11" s="32"/>
      <c r="CM11" s="32"/>
      <c r="CN11" s="32"/>
      <c r="CO11" s="32"/>
      <c r="CP11" s="32"/>
      <c r="CQ11" s="32"/>
      <c r="CR11" s="32"/>
      <c r="CS11" s="32"/>
      <c r="CT11" s="32"/>
      <c r="CU11" s="32"/>
      <c r="CV11" s="32"/>
      <c r="CW11" s="32"/>
      <c r="CX11" s="32"/>
      <c r="CY11" s="32"/>
      <c r="CZ11" s="32"/>
      <c r="DA11" s="32"/>
      <c r="DB11" s="131"/>
      <c r="DC11" s="131"/>
      <c r="DD11" s="131"/>
      <c r="DE11" s="131"/>
      <c r="DF11" s="131"/>
      <c r="DG11" s="131"/>
      <c r="DH11" s="131"/>
      <c r="DI11" s="131"/>
      <c r="DJ11" s="131"/>
      <c r="DK11" s="131"/>
      <c r="DL11" s="131"/>
      <c r="DM11" s="131"/>
      <c r="DN11" s="131"/>
      <c r="DO11" s="132"/>
      <c r="DP11" s="114"/>
      <c r="DQ11" s="32"/>
      <c r="DR11" s="32"/>
      <c r="DS11" s="32"/>
      <c r="DT11" s="32"/>
      <c r="DU11" s="32"/>
      <c r="DV11" s="32"/>
      <c r="DW11" s="32"/>
      <c r="DX11" s="32"/>
      <c r="DY11" s="32"/>
      <c r="DZ11" s="32"/>
      <c r="EA11" s="32"/>
      <c r="EB11" s="32"/>
      <c r="EC11" s="32"/>
      <c r="ED11" s="32"/>
      <c r="EE11" s="32"/>
      <c r="EF11" s="32"/>
      <c r="EG11" s="32"/>
      <c r="EH11" s="32"/>
      <c r="EI11" s="32"/>
      <c r="EJ11" s="32"/>
      <c r="EK11" s="113">
        <f t="shared" ref="EK11:EK13" si="66">D12+7</f>
        <v>46163</v>
      </c>
      <c r="EL11" s="113">
        <f t="shared" ref="EL11:EL13" si="67">E12+7</f>
        <v>46188</v>
      </c>
    </row>
    <row r="12" spans="1:142" s="29" customFormat="1" ht="30" customHeight="1" thickBot="1" x14ac:dyDescent="0.2">
      <c r="A12" s="4"/>
      <c r="B12" s="33" t="s">
        <v>10</v>
      </c>
      <c r="C12" s="34">
        <v>1</v>
      </c>
      <c r="D12" s="52">
        <v>46156</v>
      </c>
      <c r="E12" s="52">
        <v>46181</v>
      </c>
      <c r="F12" s="6"/>
      <c r="G12" s="3">
        <f t="shared" si="65"/>
        <v>26</v>
      </c>
      <c r="H12" s="32"/>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c r="BK12" s="32"/>
      <c r="BL12" s="32"/>
      <c r="BM12" s="32"/>
      <c r="BN12" s="32"/>
      <c r="BO12" s="32"/>
      <c r="BP12" s="32"/>
      <c r="BQ12" s="32"/>
      <c r="BR12" s="32"/>
      <c r="BS12" s="32"/>
      <c r="BT12" s="32"/>
      <c r="BU12" s="32"/>
      <c r="BV12" s="32"/>
      <c r="BW12" s="32"/>
      <c r="BX12" s="32"/>
      <c r="BY12" s="32"/>
      <c r="BZ12" s="32"/>
      <c r="CA12" s="32"/>
      <c r="CB12" s="32"/>
      <c r="CC12" s="32"/>
      <c r="CD12" s="32"/>
      <c r="CE12" s="32"/>
      <c r="CF12" s="32"/>
      <c r="CG12" s="32"/>
      <c r="CH12" s="32"/>
      <c r="CI12" s="32"/>
      <c r="CJ12" s="32"/>
      <c r="CK12" s="32"/>
      <c r="CL12" s="32"/>
      <c r="CM12" s="32"/>
      <c r="CN12" s="32"/>
      <c r="CO12" s="32"/>
      <c r="CP12" s="32"/>
      <c r="CQ12" s="32"/>
      <c r="CR12" s="32"/>
      <c r="CS12" s="32"/>
      <c r="CT12" s="32"/>
      <c r="CU12" s="32"/>
      <c r="CV12" s="32"/>
      <c r="CW12" s="32"/>
      <c r="CX12" s="32"/>
      <c r="CY12" s="32"/>
      <c r="CZ12" s="32"/>
      <c r="DA12" s="32"/>
      <c r="DB12" s="131"/>
      <c r="DC12" s="131"/>
      <c r="DD12" s="131"/>
      <c r="DE12" s="131"/>
      <c r="DF12" s="131"/>
      <c r="DG12" s="131"/>
      <c r="DH12" s="131"/>
      <c r="DI12" s="131"/>
      <c r="DJ12" s="131"/>
      <c r="DK12" s="131"/>
      <c r="DL12" s="131"/>
      <c r="DM12" s="131"/>
      <c r="DN12" s="131"/>
      <c r="DO12" s="132"/>
      <c r="DP12" s="114"/>
      <c r="DQ12" s="32"/>
      <c r="DR12" s="32"/>
      <c r="DS12" s="32"/>
      <c r="DT12" s="32"/>
      <c r="DU12" s="32"/>
      <c r="DV12" s="32"/>
      <c r="DW12" s="32"/>
      <c r="DX12" s="32"/>
      <c r="DY12" s="32"/>
      <c r="DZ12" s="32"/>
      <c r="EA12" s="32"/>
      <c r="EB12" s="32"/>
      <c r="EC12" s="32"/>
      <c r="ED12" s="32"/>
      <c r="EE12" s="32"/>
      <c r="EF12" s="32"/>
      <c r="EG12" s="32"/>
      <c r="EH12" s="32"/>
      <c r="EI12" s="32"/>
      <c r="EJ12" s="32"/>
      <c r="EK12" s="113">
        <f t="shared" si="66"/>
        <v>46163</v>
      </c>
      <c r="EL12" s="113">
        <f t="shared" si="67"/>
        <v>46188</v>
      </c>
    </row>
    <row r="13" spans="1:142" s="29" customFormat="1" ht="33" customHeight="1" thickBot="1" x14ac:dyDescent="0.2">
      <c r="A13" s="4"/>
      <c r="B13" s="62" t="s">
        <v>14</v>
      </c>
      <c r="C13" s="34">
        <v>1</v>
      </c>
      <c r="D13" s="52">
        <v>46156</v>
      </c>
      <c r="E13" s="52">
        <v>46181</v>
      </c>
      <c r="F13" s="6"/>
      <c r="G13" s="3"/>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c r="BK13" s="32"/>
      <c r="BL13" s="32"/>
      <c r="BM13" s="32"/>
      <c r="BN13" s="32"/>
      <c r="BO13" s="32"/>
      <c r="BP13" s="32"/>
      <c r="BQ13" s="32"/>
      <c r="BR13" s="32"/>
      <c r="BS13" s="32"/>
      <c r="BT13" s="32"/>
      <c r="BU13" s="32"/>
      <c r="BV13" s="32"/>
      <c r="BW13" s="32"/>
      <c r="BX13" s="32"/>
      <c r="BY13" s="32"/>
      <c r="BZ13" s="32"/>
      <c r="CA13" s="32"/>
      <c r="CB13" s="32"/>
      <c r="CC13" s="32"/>
      <c r="CD13" s="32"/>
      <c r="CE13" s="32"/>
      <c r="CF13" s="32"/>
      <c r="CG13" s="32"/>
      <c r="CH13" s="32"/>
      <c r="CI13" s="32"/>
      <c r="CJ13" s="32"/>
      <c r="CK13" s="32"/>
      <c r="CL13" s="32"/>
      <c r="CM13" s="32"/>
      <c r="CN13" s="32"/>
      <c r="CO13" s="32"/>
      <c r="CP13" s="32"/>
      <c r="CQ13" s="32"/>
      <c r="CR13" s="32"/>
      <c r="CS13" s="32"/>
      <c r="CT13" s="32"/>
      <c r="CU13" s="32"/>
      <c r="CV13" s="32"/>
      <c r="CW13" s="32"/>
      <c r="CX13" s="32"/>
      <c r="CY13" s="32"/>
      <c r="CZ13" s="32"/>
      <c r="DA13" s="32"/>
      <c r="DB13" s="131"/>
      <c r="DC13" s="131"/>
      <c r="DD13" s="131"/>
      <c r="DE13" s="131"/>
      <c r="DF13" s="131"/>
      <c r="DG13" s="131"/>
      <c r="DH13" s="131"/>
      <c r="DI13" s="131"/>
      <c r="DJ13" s="131"/>
      <c r="DK13" s="131"/>
      <c r="DL13" s="131"/>
      <c r="DM13" s="131"/>
      <c r="DN13" s="131"/>
      <c r="DO13" s="132"/>
      <c r="DP13" s="114"/>
      <c r="DQ13" s="32"/>
      <c r="DR13" s="32"/>
      <c r="DS13" s="32"/>
      <c r="DT13" s="32"/>
      <c r="DU13" s="32"/>
      <c r="DV13" s="32"/>
      <c r="DW13" s="32"/>
      <c r="DX13" s="32"/>
      <c r="DY13" s="32"/>
      <c r="DZ13" s="32"/>
      <c r="EA13" s="32"/>
      <c r="EB13" s="32"/>
      <c r="EC13" s="32"/>
      <c r="ED13" s="32"/>
      <c r="EE13" s="32"/>
      <c r="EF13" s="32"/>
      <c r="EG13" s="32"/>
      <c r="EH13" s="32"/>
      <c r="EI13" s="32"/>
      <c r="EJ13" s="32"/>
      <c r="EK13" s="113">
        <f t="shared" si="66"/>
        <v>46189</v>
      </c>
      <c r="EL13" s="113">
        <f t="shared" si="67"/>
        <v>46190</v>
      </c>
    </row>
    <row r="14" spans="1:142" s="29" customFormat="1" ht="30" customHeight="1" thickBot="1" x14ac:dyDescent="0.2">
      <c r="A14" s="4"/>
      <c r="B14" s="33" t="s">
        <v>11</v>
      </c>
      <c r="C14" s="34">
        <v>1</v>
      </c>
      <c r="D14" s="52">
        <v>46182</v>
      </c>
      <c r="E14" s="52">
        <v>46183</v>
      </c>
      <c r="F14" s="6"/>
      <c r="G14" s="3">
        <f t="shared" si="65"/>
        <v>2</v>
      </c>
      <c r="H14" s="32"/>
      <c r="I14" s="32"/>
      <c r="J14" s="32"/>
      <c r="K14" s="32"/>
      <c r="L14" s="32"/>
      <c r="M14" s="32"/>
      <c r="N14" s="32"/>
      <c r="O14" s="32"/>
      <c r="P14" s="32"/>
      <c r="Q14" s="32"/>
      <c r="R14" s="32"/>
      <c r="S14" s="32"/>
      <c r="T14" s="32"/>
      <c r="U14" s="32"/>
      <c r="V14" s="32"/>
      <c r="W14" s="32"/>
      <c r="X14" s="35"/>
      <c r="Y14" s="32"/>
      <c r="Z14" s="32"/>
      <c r="AA14" s="32"/>
      <c r="AB14" s="32"/>
      <c r="AC14" s="32"/>
      <c r="AD14" s="32"/>
      <c r="AE14" s="32"/>
      <c r="AF14" s="32"/>
      <c r="AG14" s="32"/>
      <c r="AH14" s="32"/>
      <c r="AI14" s="32"/>
      <c r="AJ14" s="32"/>
      <c r="AK14" s="32"/>
      <c r="AL14" s="32"/>
      <c r="AM14" s="32"/>
      <c r="AN14" s="32"/>
      <c r="AO14" s="32"/>
      <c r="AP14" s="32"/>
      <c r="AQ14" s="32"/>
      <c r="AR14" s="32"/>
      <c r="AS14" s="32"/>
      <c r="AT14" s="32"/>
      <c r="AU14" s="32"/>
      <c r="AV14" s="32"/>
      <c r="AW14" s="32"/>
      <c r="AX14" s="32"/>
      <c r="AY14" s="32"/>
      <c r="AZ14" s="32"/>
      <c r="BA14" s="32"/>
      <c r="BB14" s="32"/>
      <c r="BC14" s="32"/>
      <c r="BD14" s="32"/>
      <c r="BE14" s="32"/>
      <c r="BF14" s="32"/>
      <c r="BG14" s="32"/>
      <c r="BH14" s="32"/>
      <c r="BI14" s="32"/>
      <c r="BJ14" s="32"/>
      <c r="BK14" s="32"/>
      <c r="BL14" s="32"/>
      <c r="BM14" s="32"/>
      <c r="BN14" s="32"/>
      <c r="BO14" s="32"/>
      <c r="BP14" s="32"/>
      <c r="BQ14" s="32"/>
      <c r="BR14" s="32"/>
      <c r="BS14" s="32"/>
      <c r="BT14" s="32"/>
      <c r="BU14" s="32"/>
      <c r="BV14" s="32"/>
      <c r="BW14" s="32"/>
      <c r="BX14" s="32"/>
      <c r="BY14" s="32"/>
      <c r="BZ14" s="32"/>
      <c r="CA14" s="32"/>
      <c r="CB14" s="32"/>
      <c r="CC14" s="32"/>
      <c r="CD14" s="32"/>
      <c r="CE14" s="32"/>
      <c r="CF14" s="32"/>
      <c r="CG14" s="32"/>
      <c r="CH14" s="32"/>
      <c r="CI14" s="32"/>
      <c r="CJ14" s="32"/>
      <c r="CK14" s="32"/>
      <c r="CL14" s="32"/>
      <c r="CM14" s="32"/>
      <c r="CN14" s="32"/>
      <c r="CO14" s="32"/>
      <c r="CP14" s="32"/>
      <c r="CQ14" s="32"/>
      <c r="CR14" s="32"/>
      <c r="CS14" s="32"/>
      <c r="CT14" s="32"/>
      <c r="CU14" s="32"/>
      <c r="CV14" s="32"/>
      <c r="CW14" s="32"/>
      <c r="CX14" s="32"/>
      <c r="CY14" s="32"/>
      <c r="CZ14" s="32"/>
      <c r="DA14" s="32"/>
      <c r="DB14" s="131"/>
      <c r="DC14" s="131"/>
      <c r="DD14" s="131"/>
      <c r="DE14" s="131"/>
      <c r="DF14" s="131"/>
      <c r="DG14" s="131"/>
      <c r="DH14" s="131"/>
      <c r="DI14" s="131"/>
      <c r="DJ14" s="131"/>
      <c r="DK14" s="131"/>
      <c r="DL14" s="131"/>
      <c r="DM14" s="131"/>
      <c r="DN14" s="131"/>
      <c r="DO14" s="132"/>
      <c r="DP14" s="114"/>
      <c r="DQ14" s="32"/>
      <c r="DR14" s="32"/>
      <c r="DS14" s="32"/>
      <c r="DT14" s="32"/>
      <c r="DU14" s="32"/>
      <c r="DV14" s="32"/>
      <c r="DW14" s="32"/>
      <c r="DX14" s="32"/>
      <c r="DY14" s="32"/>
      <c r="DZ14" s="32"/>
      <c r="EA14" s="32"/>
      <c r="EB14" s="32"/>
      <c r="EC14" s="32"/>
      <c r="ED14" s="32"/>
      <c r="EE14" s="32"/>
      <c r="EF14" s="32"/>
      <c r="EG14" s="32"/>
      <c r="EH14" s="32"/>
      <c r="EI14" s="32"/>
      <c r="EJ14" s="32"/>
      <c r="EK14" s="113">
        <f>D14-10</f>
        <v>46172</v>
      </c>
      <c r="EL14" s="113">
        <f>E14-10</f>
        <v>46173</v>
      </c>
    </row>
    <row r="15" spans="1:142" s="29" customFormat="1" ht="30" customHeight="1" thickBot="1" x14ac:dyDescent="0.2">
      <c r="A15" s="4"/>
      <c r="B15" s="33" t="s">
        <v>13</v>
      </c>
      <c r="C15" s="34">
        <v>1</v>
      </c>
      <c r="D15" s="52">
        <v>46183</v>
      </c>
      <c r="E15" s="52">
        <v>46183</v>
      </c>
      <c r="F15" s="6"/>
      <c r="G15" s="3">
        <f t="shared" si="65"/>
        <v>1</v>
      </c>
      <c r="H15" s="32"/>
      <c r="I15" s="32"/>
      <c r="J15" s="32"/>
      <c r="K15" s="32"/>
      <c r="L15" s="32"/>
      <c r="M15" s="32"/>
      <c r="N15" s="32"/>
      <c r="O15" s="32"/>
      <c r="P15" s="32"/>
      <c r="Q15" s="32"/>
      <c r="R15" s="32"/>
      <c r="S15" s="32"/>
      <c r="T15" s="32"/>
      <c r="U15" s="32"/>
      <c r="V15" s="32"/>
      <c r="W15" s="32"/>
      <c r="X15" s="35"/>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32"/>
      <c r="CR15" s="32"/>
      <c r="CS15" s="32"/>
      <c r="CT15" s="32"/>
      <c r="CU15" s="32"/>
      <c r="CV15" s="32"/>
      <c r="CW15" s="32"/>
      <c r="CX15" s="32"/>
      <c r="CY15" s="32"/>
      <c r="CZ15" s="32"/>
      <c r="DA15" s="32"/>
      <c r="DB15" s="131"/>
      <c r="DC15" s="131"/>
      <c r="DD15" s="131"/>
      <c r="DE15" s="131"/>
      <c r="DF15" s="131"/>
      <c r="DG15" s="131"/>
      <c r="DH15" s="131"/>
      <c r="DI15" s="131"/>
      <c r="DJ15" s="131"/>
      <c r="DK15" s="131"/>
      <c r="DL15" s="131"/>
      <c r="DM15" s="131"/>
      <c r="DN15" s="131"/>
      <c r="DO15" s="132"/>
      <c r="DP15" s="114"/>
      <c r="DQ15" s="32"/>
      <c r="DR15" s="32"/>
      <c r="DS15" s="32"/>
      <c r="DT15" s="32"/>
      <c r="DU15" s="32"/>
      <c r="DV15" s="32"/>
      <c r="DW15" s="32"/>
      <c r="DX15" s="32"/>
      <c r="DY15" s="32"/>
      <c r="DZ15" s="32"/>
      <c r="EA15" s="32"/>
      <c r="EB15" s="32"/>
      <c r="EC15" s="32"/>
      <c r="ED15" s="32"/>
      <c r="EE15" s="32"/>
      <c r="EF15" s="32"/>
      <c r="EG15" s="32"/>
      <c r="EH15" s="32"/>
      <c r="EI15" s="32"/>
      <c r="EJ15" s="32"/>
      <c r="EK15" s="113">
        <f t="shared" ref="EK15:EK17" si="68">D15-10</f>
        <v>46173</v>
      </c>
      <c r="EL15" s="113">
        <f t="shared" ref="EL15:EL18" si="69">E15-10</f>
        <v>46173</v>
      </c>
    </row>
    <row r="16" spans="1:142" s="29" customFormat="1" ht="30" customHeight="1" thickBot="1" x14ac:dyDescent="0.2">
      <c r="A16" s="4"/>
      <c r="B16" s="62" t="s">
        <v>18</v>
      </c>
      <c r="C16" s="34">
        <v>1</v>
      </c>
      <c r="D16" s="52">
        <v>46183</v>
      </c>
      <c r="E16" s="52">
        <v>46183</v>
      </c>
      <c r="F16" s="6"/>
      <c r="G16" s="3">
        <f t="shared" si="65"/>
        <v>1</v>
      </c>
      <c r="H16" s="32"/>
      <c r="I16" s="32"/>
      <c r="J16" s="32"/>
      <c r="K16" s="32"/>
      <c r="L16" s="32"/>
      <c r="M16" s="32"/>
      <c r="N16" s="32"/>
      <c r="O16" s="32"/>
      <c r="P16" s="32"/>
      <c r="Q16" s="32"/>
      <c r="R16" s="32"/>
      <c r="S16" s="32"/>
      <c r="T16" s="32"/>
      <c r="U16" s="32"/>
      <c r="V16" s="32"/>
      <c r="W16" s="32"/>
      <c r="X16" s="35"/>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c r="BK16" s="32"/>
      <c r="BL16" s="32"/>
      <c r="BM16" s="32"/>
      <c r="BN16" s="32"/>
      <c r="BO16" s="32"/>
      <c r="BP16" s="32"/>
      <c r="BQ16" s="32"/>
      <c r="BR16" s="32"/>
      <c r="BS16" s="32"/>
      <c r="BT16" s="32"/>
      <c r="BU16" s="32"/>
      <c r="BV16" s="32"/>
      <c r="BW16" s="32"/>
      <c r="BX16" s="32"/>
      <c r="BY16" s="32"/>
      <c r="BZ16" s="32"/>
      <c r="CA16" s="32"/>
      <c r="CB16" s="32"/>
      <c r="CC16" s="32"/>
      <c r="CD16" s="32"/>
      <c r="CE16" s="32"/>
      <c r="CF16" s="32"/>
      <c r="CG16" s="32"/>
      <c r="CH16" s="32"/>
      <c r="CI16" s="32"/>
      <c r="CJ16" s="32"/>
      <c r="CK16" s="32"/>
      <c r="CL16" s="32"/>
      <c r="CM16" s="32"/>
      <c r="CN16" s="32"/>
      <c r="CO16" s="32"/>
      <c r="CP16" s="32"/>
      <c r="CQ16" s="32"/>
      <c r="CR16" s="32"/>
      <c r="CS16" s="32"/>
      <c r="CT16" s="32"/>
      <c r="CU16" s="32"/>
      <c r="CV16" s="32"/>
      <c r="CW16" s="32"/>
      <c r="CX16" s="32"/>
      <c r="CY16" s="32"/>
      <c r="CZ16" s="32"/>
      <c r="DA16" s="32"/>
      <c r="DB16" s="131"/>
      <c r="DC16" s="131"/>
      <c r="DD16" s="131"/>
      <c r="DE16" s="131"/>
      <c r="DF16" s="131"/>
      <c r="DG16" s="131"/>
      <c r="DH16" s="131"/>
      <c r="DI16" s="131"/>
      <c r="DJ16" s="131"/>
      <c r="DK16" s="131"/>
      <c r="DL16" s="131"/>
      <c r="DM16" s="131"/>
      <c r="DN16" s="131"/>
      <c r="DO16" s="132"/>
      <c r="DP16" s="114"/>
      <c r="DQ16" s="32"/>
      <c r="DR16" s="32"/>
      <c r="DS16" s="32"/>
      <c r="DT16" s="32"/>
      <c r="DU16" s="32"/>
      <c r="DV16" s="32"/>
      <c r="DW16" s="32"/>
      <c r="DX16" s="32"/>
      <c r="DY16" s="32"/>
      <c r="DZ16" s="32"/>
      <c r="EA16" s="32"/>
      <c r="EB16" s="32"/>
      <c r="EC16" s="32"/>
      <c r="ED16" s="32"/>
      <c r="EE16" s="32"/>
      <c r="EF16" s="32"/>
      <c r="EG16" s="32"/>
      <c r="EH16" s="32"/>
      <c r="EI16" s="32"/>
      <c r="EJ16" s="32"/>
      <c r="EK16" s="113">
        <f t="shared" si="68"/>
        <v>46173</v>
      </c>
      <c r="EL16" s="113">
        <f t="shared" si="69"/>
        <v>46173</v>
      </c>
    </row>
    <row r="17" spans="1:142" s="29" customFormat="1" ht="30" customHeight="1" thickBot="1" x14ac:dyDescent="0.2">
      <c r="A17" s="5"/>
      <c r="B17" s="36" t="s">
        <v>15</v>
      </c>
      <c r="C17" s="37"/>
      <c r="D17" s="53"/>
      <c r="E17" s="54"/>
      <c r="F17" s="6"/>
      <c r="G17" s="3" t="str">
        <f t="shared" si="65"/>
        <v/>
      </c>
      <c r="DB17" s="131"/>
      <c r="DC17" s="131"/>
      <c r="DD17" s="131"/>
      <c r="DE17" s="131"/>
      <c r="DF17" s="131"/>
      <c r="DG17" s="131"/>
      <c r="DH17" s="131"/>
      <c r="DI17" s="131"/>
      <c r="DJ17" s="131"/>
      <c r="DK17" s="131"/>
      <c r="DL17" s="131"/>
      <c r="DM17" s="131"/>
      <c r="DN17" s="131"/>
      <c r="DO17" s="132"/>
      <c r="EK17" s="113">
        <f t="shared" si="68"/>
        <v>-10</v>
      </c>
      <c r="EL17" s="113">
        <f t="shared" si="69"/>
        <v>-10</v>
      </c>
    </row>
    <row r="18" spans="1:142" s="29" customFormat="1" ht="30" customHeight="1" thickBot="1" x14ac:dyDescent="0.2">
      <c r="A18" s="5"/>
      <c r="B18" s="63" t="s">
        <v>19</v>
      </c>
      <c r="C18" s="39">
        <v>1</v>
      </c>
      <c r="D18" s="55">
        <v>46184</v>
      </c>
      <c r="E18" s="55">
        <v>46185</v>
      </c>
      <c r="F18" s="6"/>
      <c r="G18" s="3">
        <f t="shared" si="65"/>
        <v>2</v>
      </c>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c r="BK18" s="32"/>
      <c r="BL18" s="32"/>
      <c r="BM18" s="32"/>
      <c r="BN18" s="32"/>
      <c r="BO18" s="32"/>
      <c r="BP18" s="32"/>
      <c r="BQ18" s="32"/>
      <c r="BR18" s="32"/>
      <c r="BS18" s="32"/>
      <c r="BT18" s="32"/>
      <c r="BU18" s="32"/>
      <c r="BV18" s="32"/>
      <c r="BW18" s="32"/>
      <c r="BX18" s="32"/>
      <c r="BY18" s="32"/>
      <c r="BZ18" s="32"/>
      <c r="CA18" s="32"/>
      <c r="CB18" s="32"/>
      <c r="CC18" s="32"/>
      <c r="CD18" s="32"/>
      <c r="CE18" s="32"/>
      <c r="CF18" s="32"/>
      <c r="CG18" s="32"/>
      <c r="CH18" s="32"/>
      <c r="CI18" s="32"/>
      <c r="CJ18" s="32"/>
      <c r="CK18" s="32"/>
      <c r="CL18" s="32"/>
      <c r="CM18" s="32"/>
      <c r="CN18" s="32"/>
      <c r="CO18" s="32"/>
      <c r="CP18" s="32"/>
      <c r="CQ18" s="32"/>
      <c r="CR18" s="32"/>
      <c r="CS18" s="32"/>
      <c r="CT18" s="32"/>
      <c r="CU18" s="32"/>
      <c r="CV18" s="32"/>
      <c r="CW18" s="32"/>
      <c r="CX18" s="32"/>
      <c r="CY18" s="32"/>
      <c r="CZ18" s="32"/>
      <c r="DA18" s="32"/>
      <c r="DB18" s="131"/>
      <c r="DC18" s="131"/>
      <c r="DD18" s="131"/>
      <c r="DE18" s="131"/>
      <c r="DF18" s="131"/>
      <c r="DG18" s="131"/>
      <c r="DH18" s="131"/>
      <c r="DI18" s="131"/>
      <c r="DJ18" s="131"/>
      <c r="DK18" s="131"/>
      <c r="DL18" s="131"/>
      <c r="DM18" s="131"/>
      <c r="DN18" s="131"/>
      <c r="DO18" s="132"/>
      <c r="DP18" s="114"/>
      <c r="DQ18" s="32"/>
      <c r="DR18" s="32"/>
      <c r="DS18" s="32"/>
      <c r="DT18" s="32"/>
      <c r="DU18" s="32"/>
      <c r="DV18" s="32"/>
      <c r="DW18" s="32"/>
      <c r="DX18" s="32"/>
      <c r="DY18" s="32"/>
      <c r="DZ18" s="32"/>
      <c r="EA18" s="32"/>
      <c r="EB18" s="32"/>
      <c r="EC18" s="32"/>
      <c r="ED18" s="32"/>
      <c r="EE18" s="32"/>
      <c r="EF18" s="32"/>
      <c r="EG18" s="32"/>
      <c r="EH18" s="32"/>
      <c r="EI18" s="32"/>
      <c r="EJ18" s="32"/>
      <c r="EK18" s="113">
        <f>D18-10</f>
        <v>46174</v>
      </c>
      <c r="EL18" s="113">
        <f t="shared" si="69"/>
        <v>46175</v>
      </c>
    </row>
    <row r="19" spans="1:142" s="29" customFormat="1" ht="30" customHeight="1" thickBot="1" x14ac:dyDescent="0.2">
      <c r="A19" s="4"/>
      <c r="B19" s="38" t="s">
        <v>24</v>
      </c>
      <c r="C19" s="39">
        <v>1</v>
      </c>
      <c r="D19" s="55">
        <v>46186</v>
      </c>
      <c r="E19" s="55">
        <v>46186</v>
      </c>
      <c r="F19" s="6"/>
      <c r="G19" s="3">
        <f t="shared" si="65"/>
        <v>1</v>
      </c>
      <c r="H19" s="32"/>
      <c r="I19" s="32"/>
      <c r="J19" s="32"/>
      <c r="K19" s="32"/>
      <c r="L19" s="32"/>
      <c r="M19" s="32"/>
      <c r="N19" s="32"/>
      <c r="O19" s="32"/>
      <c r="P19" s="32"/>
      <c r="Q19" s="32"/>
      <c r="R19" s="32"/>
      <c r="S19" s="32"/>
      <c r="T19" s="35"/>
      <c r="U19" s="35"/>
      <c r="V19" s="32"/>
      <c r="W19" s="32"/>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c r="BK19" s="32"/>
      <c r="BL19" s="32"/>
      <c r="BM19" s="32"/>
      <c r="BN19" s="32"/>
      <c r="BO19" s="32"/>
      <c r="BP19" s="32"/>
      <c r="BQ19" s="32"/>
      <c r="BR19" s="32"/>
      <c r="BS19" s="32"/>
      <c r="BT19" s="32"/>
      <c r="BU19" s="32"/>
      <c r="BV19" s="32"/>
      <c r="BW19" s="32"/>
      <c r="BX19" s="32"/>
      <c r="BY19" s="32"/>
      <c r="BZ19" s="32"/>
      <c r="CA19" s="32"/>
      <c r="CB19" s="32"/>
      <c r="CC19" s="32"/>
      <c r="CD19" s="32"/>
      <c r="CE19" s="32"/>
      <c r="CF19" s="32"/>
      <c r="CG19" s="32"/>
      <c r="CH19" s="32"/>
      <c r="CI19" s="32"/>
      <c r="CJ19" s="32"/>
      <c r="CK19" s="32"/>
      <c r="CL19" s="32"/>
      <c r="CM19" s="32"/>
      <c r="CN19" s="32"/>
      <c r="CO19" s="32"/>
      <c r="CP19" s="32"/>
      <c r="CQ19" s="32"/>
      <c r="CR19" s="32"/>
      <c r="CS19" s="32"/>
      <c r="CT19" s="32"/>
      <c r="CU19" s="32"/>
      <c r="CV19" s="32"/>
      <c r="CW19" s="32"/>
      <c r="CX19" s="32"/>
      <c r="CY19" s="32"/>
      <c r="CZ19" s="32"/>
      <c r="DA19" s="32"/>
      <c r="DB19" s="131"/>
      <c r="DC19" s="131"/>
      <c r="DD19" s="131"/>
      <c r="DE19" s="131"/>
      <c r="DF19" s="131"/>
      <c r="DG19" s="131"/>
      <c r="DH19" s="131"/>
      <c r="DI19" s="131"/>
      <c r="DJ19" s="131"/>
      <c r="DK19" s="131"/>
      <c r="DL19" s="131"/>
      <c r="DM19" s="131"/>
      <c r="DN19" s="131"/>
      <c r="DO19" s="132"/>
      <c r="DP19" s="114"/>
      <c r="DQ19" s="32"/>
      <c r="DR19" s="32"/>
      <c r="DS19" s="32"/>
      <c r="DT19" s="32"/>
      <c r="DU19" s="32"/>
      <c r="DV19" s="32"/>
      <c r="DW19" s="32"/>
      <c r="DX19" s="32"/>
      <c r="DY19" s="32"/>
      <c r="DZ19" s="32"/>
      <c r="EA19" s="32"/>
      <c r="EB19" s="32"/>
      <c r="EC19" s="32"/>
      <c r="ED19" s="32"/>
      <c r="EE19" s="32"/>
      <c r="EF19" s="32"/>
      <c r="EG19" s="32"/>
      <c r="EH19" s="32"/>
      <c r="EI19" s="32"/>
      <c r="EJ19" s="32"/>
      <c r="EK19" s="113">
        <f>D19-1</f>
        <v>46185</v>
      </c>
      <c r="EL19" s="113">
        <f>E19-1</f>
        <v>46185</v>
      </c>
    </row>
    <row r="20" spans="1:142" s="29" customFormat="1" ht="30" customHeight="1" thickBot="1" x14ac:dyDescent="0.2">
      <c r="A20" s="4"/>
      <c r="B20" s="38" t="s">
        <v>16</v>
      </c>
      <c r="C20" s="39">
        <v>1</v>
      </c>
      <c r="D20" s="55">
        <v>46186</v>
      </c>
      <c r="E20" s="55">
        <v>46186</v>
      </c>
      <c r="F20" s="6"/>
      <c r="G20" s="3"/>
      <c r="H20" s="32"/>
      <c r="I20" s="32"/>
      <c r="J20" s="32"/>
      <c r="K20" s="32"/>
      <c r="L20" s="32"/>
      <c r="M20" s="32"/>
      <c r="N20" s="32"/>
      <c r="O20" s="32"/>
      <c r="P20" s="32"/>
      <c r="Q20" s="32"/>
      <c r="R20" s="32"/>
      <c r="S20" s="32"/>
      <c r="T20" s="35"/>
      <c r="U20" s="35"/>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c r="BK20" s="32"/>
      <c r="BL20" s="32"/>
      <c r="BM20" s="32"/>
      <c r="BN20" s="32"/>
      <c r="BO20" s="32"/>
      <c r="BP20" s="32"/>
      <c r="BQ20" s="32"/>
      <c r="BR20" s="32"/>
      <c r="BS20" s="32"/>
      <c r="BT20" s="32"/>
      <c r="BU20" s="32"/>
      <c r="BV20" s="32"/>
      <c r="BW20" s="32"/>
      <c r="BX20" s="32"/>
      <c r="BY20" s="32"/>
      <c r="BZ20" s="32"/>
      <c r="CA20" s="32"/>
      <c r="CB20" s="32"/>
      <c r="CC20" s="32"/>
      <c r="CD20" s="32"/>
      <c r="CE20" s="32"/>
      <c r="CF20" s="32"/>
      <c r="CG20" s="32"/>
      <c r="CH20" s="32"/>
      <c r="CI20" s="32"/>
      <c r="CJ20" s="32"/>
      <c r="CK20" s="32"/>
      <c r="CL20" s="32"/>
      <c r="CM20" s="32"/>
      <c r="CN20" s="32"/>
      <c r="CO20" s="32"/>
      <c r="CP20" s="32"/>
      <c r="CQ20" s="32"/>
      <c r="CR20" s="32"/>
      <c r="CS20" s="32"/>
      <c r="CT20" s="32"/>
      <c r="CU20" s="32"/>
      <c r="CV20" s="32"/>
      <c r="CW20" s="32"/>
      <c r="CX20" s="32"/>
      <c r="CY20" s="32"/>
      <c r="CZ20" s="32"/>
      <c r="DA20" s="32"/>
      <c r="DB20" s="131"/>
      <c r="DC20" s="131"/>
      <c r="DD20" s="131"/>
      <c r="DE20" s="131"/>
      <c r="DF20" s="131"/>
      <c r="DG20" s="131"/>
      <c r="DH20" s="131"/>
      <c r="DI20" s="131"/>
      <c r="DJ20" s="131"/>
      <c r="DK20" s="131"/>
      <c r="DL20" s="131"/>
      <c r="DM20" s="131"/>
      <c r="DN20" s="131"/>
      <c r="DO20" s="132"/>
      <c r="DP20" s="114"/>
      <c r="DQ20" s="32"/>
      <c r="DR20" s="32"/>
      <c r="DS20" s="32"/>
      <c r="DT20" s="32"/>
      <c r="DU20" s="32"/>
      <c r="DV20" s="32"/>
      <c r="DW20" s="32"/>
      <c r="DX20" s="32"/>
      <c r="DY20" s="32"/>
      <c r="DZ20" s="32"/>
      <c r="EA20" s="32"/>
      <c r="EB20" s="32"/>
      <c r="EC20" s="32"/>
      <c r="ED20" s="32"/>
      <c r="EE20" s="32"/>
      <c r="EF20" s="32"/>
      <c r="EG20" s="32"/>
      <c r="EH20" s="32"/>
      <c r="EI20" s="32"/>
      <c r="EJ20" s="32"/>
      <c r="EK20" s="113">
        <f t="shared" ref="EK20:EK40" si="70">D20-1</f>
        <v>46185</v>
      </c>
      <c r="EL20" s="113">
        <f t="shared" ref="EL20:EL40" si="71">E20-1</f>
        <v>46185</v>
      </c>
    </row>
    <row r="21" spans="1:142" s="29" customFormat="1" ht="30" customHeight="1" thickBot="1" x14ac:dyDescent="0.2">
      <c r="A21" s="4"/>
      <c r="B21" s="40" t="s">
        <v>17</v>
      </c>
      <c r="C21" s="41"/>
      <c r="D21" s="56"/>
      <c r="E21" s="57"/>
      <c r="F21" s="6"/>
      <c r="G21" s="3" t="str">
        <f t="shared" si="65"/>
        <v/>
      </c>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c r="AG21" s="42"/>
      <c r="AH21" s="42"/>
      <c r="AI21" s="42"/>
      <c r="AJ21" s="42"/>
      <c r="AK21" s="42"/>
      <c r="AL21" s="42"/>
      <c r="AM21" s="42"/>
      <c r="AN21" s="42"/>
      <c r="AO21" s="42"/>
      <c r="AP21" s="42"/>
      <c r="AQ21" s="42"/>
      <c r="AR21" s="42"/>
      <c r="AS21" s="42"/>
      <c r="AT21" s="42"/>
      <c r="AU21" s="42"/>
      <c r="AV21" s="42"/>
      <c r="AW21" s="42"/>
      <c r="AX21" s="42"/>
      <c r="AY21" s="42"/>
      <c r="AZ21" s="42"/>
      <c r="BA21" s="42"/>
      <c r="BB21" s="42"/>
      <c r="BC21" s="42"/>
      <c r="BD21" s="42"/>
      <c r="BE21" s="42"/>
      <c r="BF21" s="42"/>
      <c r="BG21" s="42"/>
      <c r="BH21" s="42"/>
      <c r="BI21" s="42"/>
      <c r="BJ21" s="42"/>
      <c r="BK21" s="42"/>
      <c r="BL21" s="42"/>
      <c r="BM21" s="42"/>
      <c r="BN21" s="42"/>
      <c r="BO21" s="42"/>
      <c r="BP21" s="42"/>
      <c r="BQ21" s="42"/>
      <c r="BR21" s="42"/>
      <c r="BS21" s="42"/>
      <c r="BT21" s="42"/>
      <c r="BU21" s="42"/>
      <c r="BV21" s="42"/>
      <c r="BW21" s="42"/>
      <c r="BX21" s="42"/>
      <c r="BY21" s="42"/>
      <c r="BZ21" s="42"/>
      <c r="CA21" s="42"/>
      <c r="CB21" s="42"/>
      <c r="CC21" s="42"/>
      <c r="CD21" s="42"/>
      <c r="CE21" s="42"/>
      <c r="CF21" s="42"/>
      <c r="CG21" s="42"/>
      <c r="CH21" s="42"/>
      <c r="CI21" s="42"/>
      <c r="CJ21" s="42"/>
      <c r="CK21" s="42"/>
      <c r="CL21" s="42"/>
      <c r="CM21" s="42"/>
      <c r="CN21" s="42"/>
      <c r="CO21" s="42"/>
      <c r="CP21" s="42"/>
      <c r="CQ21" s="42"/>
      <c r="CR21" s="42"/>
      <c r="CS21" s="42"/>
      <c r="CT21" s="42"/>
      <c r="CU21" s="42"/>
      <c r="CV21" s="42"/>
      <c r="CW21" s="42"/>
      <c r="CX21" s="42"/>
      <c r="CY21" s="42"/>
      <c r="CZ21" s="42"/>
      <c r="DA21" s="42"/>
      <c r="DB21" s="131"/>
      <c r="DC21" s="131"/>
      <c r="DD21" s="131"/>
      <c r="DE21" s="131"/>
      <c r="DF21" s="131"/>
      <c r="DG21" s="131"/>
      <c r="DH21" s="131"/>
      <c r="DI21" s="131"/>
      <c r="DJ21" s="131"/>
      <c r="DK21" s="131"/>
      <c r="DL21" s="131"/>
      <c r="DM21" s="131"/>
      <c r="DN21" s="131"/>
      <c r="DO21" s="132"/>
      <c r="DP21" s="42"/>
      <c r="DQ21" s="42"/>
      <c r="DR21" s="42"/>
      <c r="DS21" s="42"/>
      <c r="DT21" s="42"/>
      <c r="DU21" s="42"/>
      <c r="DV21" s="42"/>
      <c r="DW21" s="42"/>
      <c r="DX21" s="42"/>
      <c r="DY21" s="42"/>
      <c r="DZ21" s="42"/>
      <c r="EA21" s="42"/>
      <c r="EB21" s="42"/>
      <c r="EC21" s="42"/>
      <c r="ED21" s="42"/>
      <c r="EE21" s="42"/>
      <c r="EF21" s="42"/>
      <c r="EG21" s="42"/>
      <c r="EH21" s="42"/>
      <c r="EI21" s="42"/>
      <c r="EJ21" s="42"/>
      <c r="EK21" s="113">
        <f t="shared" si="70"/>
        <v>-1</v>
      </c>
      <c r="EL21" s="113">
        <f t="shared" si="71"/>
        <v>-1</v>
      </c>
    </row>
    <row r="22" spans="1:142" s="29" customFormat="1" ht="30" customHeight="1" thickBot="1" x14ac:dyDescent="0.2">
      <c r="A22" s="4"/>
      <c r="B22" s="43" t="s">
        <v>20</v>
      </c>
      <c r="C22" s="44">
        <v>1</v>
      </c>
      <c r="D22" s="58">
        <v>46187</v>
      </c>
      <c r="E22" s="58">
        <v>46189</v>
      </c>
      <c r="F22" s="6"/>
      <c r="G22" s="3">
        <f t="shared" si="65"/>
        <v>3</v>
      </c>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2"/>
      <c r="BA22" s="32"/>
      <c r="BB22" s="32"/>
      <c r="BC22" s="32"/>
      <c r="BD22" s="32"/>
      <c r="BE22" s="32"/>
      <c r="BF22" s="32"/>
      <c r="BG22" s="32"/>
      <c r="BH22" s="32"/>
      <c r="BI22" s="32"/>
      <c r="BJ22" s="32"/>
      <c r="BK22" s="32"/>
      <c r="BL22" s="32"/>
      <c r="BM22" s="32"/>
      <c r="BN22" s="32"/>
      <c r="BO22" s="32"/>
      <c r="BP22" s="32"/>
      <c r="BQ22" s="32"/>
      <c r="BR22" s="32"/>
      <c r="BS22" s="32"/>
      <c r="BT22" s="32"/>
      <c r="BU22" s="32"/>
      <c r="BV22" s="32"/>
      <c r="BW22" s="32"/>
      <c r="BX22" s="32"/>
      <c r="BY22" s="32"/>
      <c r="BZ22" s="32"/>
      <c r="CA22" s="32"/>
      <c r="CB22" s="32"/>
      <c r="CC22" s="32"/>
      <c r="CD22" s="32"/>
      <c r="CE22" s="32"/>
      <c r="CF22" s="32"/>
      <c r="CG22" s="32"/>
      <c r="CH22" s="32"/>
      <c r="CI22" s="32"/>
      <c r="CJ22" s="32"/>
      <c r="CK22" s="32"/>
      <c r="CL22" s="32"/>
      <c r="CM22" s="32"/>
      <c r="CN22" s="32"/>
      <c r="CO22" s="32"/>
      <c r="CP22" s="32"/>
      <c r="CQ22" s="32"/>
      <c r="CR22" s="32"/>
      <c r="CS22" s="32"/>
      <c r="CT22" s="32"/>
      <c r="CU22" s="32"/>
      <c r="CV22" s="32"/>
      <c r="CW22" s="32"/>
      <c r="CX22" s="32"/>
      <c r="CY22" s="32"/>
      <c r="CZ22" s="32"/>
      <c r="DA22" s="32"/>
      <c r="DB22" s="131"/>
      <c r="DC22" s="131"/>
      <c r="DD22" s="131"/>
      <c r="DE22" s="131"/>
      <c r="DF22" s="131"/>
      <c r="DG22" s="131"/>
      <c r="DH22" s="131"/>
      <c r="DI22" s="131"/>
      <c r="DJ22" s="131"/>
      <c r="DK22" s="131"/>
      <c r="DL22" s="131"/>
      <c r="DM22" s="131"/>
      <c r="DN22" s="131"/>
      <c r="DO22" s="132"/>
      <c r="DP22" s="114"/>
      <c r="DQ22" s="32"/>
      <c r="DR22" s="32"/>
      <c r="DS22" s="32"/>
      <c r="DT22" s="32"/>
      <c r="DU22" s="32"/>
      <c r="DV22" s="32"/>
      <c r="DW22" s="32"/>
      <c r="DX22" s="32"/>
      <c r="DY22" s="32"/>
      <c r="DZ22" s="32"/>
      <c r="EA22" s="32"/>
      <c r="EB22" s="32"/>
      <c r="EC22" s="32"/>
      <c r="ED22" s="32"/>
      <c r="EE22" s="32"/>
      <c r="EF22" s="32"/>
      <c r="EG22" s="32"/>
      <c r="EH22" s="32"/>
      <c r="EI22" s="32"/>
      <c r="EJ22" s="32"/>
      <c r="EK22" s="113">
        <f t="shared" si="70"/>
        <v>46186</v>
      </c>
      <c r="EL22" s="113">
        <f t="shared" si="71"/>
        <v>46188</v>
      </c>
    </row>
    <row r="23" spans="1:142" s="29" customFormat="1" ht="30" customHeight="1" thickBot="1" x14ac:dyDescent="0.2">
      <c r="A23" s="4"/>
      <c r="B23" s="64" t="s">
        <v>21</v>
      </c>
      <c r="C23" s="44">
        <v>1</v>
      </c>
      <c r="D23" s="58">
        <v>46190</v>
      </c>
      <c r="E23" s="58">
        <v>46190</v>
      </c>
      <c r="F23" s="6"/>
      <c r="G23" s="3">
        <f t="shared" si="65"/>
        <v>1</v>
      </c>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c r="CY23" s="32"/>
      <c r="CZ23" s="32"/>
      <c r="DA23" s="32"/>
      <c r="DB23" s="131"/>
      <c r="DC23" s="131"/>
      <c r="DD23" s="131"/>
      <c r="DE23" s="131"/>
      <c r="DF23" s="131"/>
      <c r="DG23" s="131"/>
      <c r="DH23" s="131"/>
      <c r="DI23" s="131"/>
      <c r="DJ23" s="131"/>
      <c r="DK23" s="131"/>
      <c r="DL23" s="131"/>
      <c r="DM23" s="131"/>
      <c r="DN23" s="131"/>
      <c r="DO23" s="132"/>
      <c r="DP23" s="114"/>
      <c r="DQ23" s="32"/>
      <c r="DR23" s="32"/>
      <c r="DS23" s="32"/>
      <c r="DT23" s="32"/>
      <c r="DU23" s="32"/>
      <c r="DV23" s="32"/>
      <c r="DW23" s="32"/>
      <c r="DX23" s="32"/>
      <c r="DY23" s="32"/>
      <c r="DZ23" s="32"/>
      <c r="EA23" s="32"/>
      <c r="EB23" s="32"/>
      <c r="EC23" s="32"/>
      <c r="ED23" s="32"/>
      <c r="EE23" s="32"/>
      <c r="EF23" s="32"/>
      <c r="EG23" s="32"/>
      <c r="EH23" s="32"/>
      <c r="EI23" s="32"/>
      <c r="EJ23" s="32"/>
      <c r="EK23" s="113">
        <f t="shared" si="70"/>
        <v>46189</v>
      </c>
      <c r="EL23" s="113">
        <f t="shared" si="71"/>
        <v>46189</v>
      </c>
    </row>
    <row r="24" spans="1:142" s="29" customFormat="1" ht="30" customHeight="1" thickBot="1" x14ac:dyDescent="0.2">
      <c r="A24" s="4"/>
      <c r="B24" s="45" t="s">
        <v>22</v>
      </c>
      <c r="C24" s="46"/>
      <c r="D24" s="59"/>
      <c r="E24" s="60"/>
      <c r="F24" s="6"/>
      <c r="G24" s="3" t="str">
        <f t="shared" si="65"/>
        <v/>
      </c>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c r="CP24" s="47"/>
      <c r="CQ24" s="47"/>
      <c r="CR24" s="47"/>
      <c r="CS24" s="47"/>
      <c r="CT24" s="47"/>
      <c r="CU24" s="47"/>
      <c r="CV24" s="47"/>
      <c r="CW24" s="47"/>
      <c r="CX24" s="47"/>
      <c r="CY24" s="47"/>
      <c r="CZ24" s="47"/>
      <c r="DA24" s="47"/>
      <c r="DB24" s="131"/>
      <c r="DC24" s="131"/>
      <c r="DD24" s="131"/>
      <c r="DE24" s="131"/>
      <c r="DF24" s="131"/>
      <c r="DG24" s="131"/>
      <c r="DH24" s="131"/>
      <c r="DI24" s="131"/>
      <c r="DJ24" s="131"/>
      <c r="DK24" s="131"/>
      <c r="DL24" s="131"/>
      <c r="DM24" s="131"/>
      <c r="DN24" s="131"/>
      <c r="DO24" s="132"/>
      <c r="DP24" s="47"/>
      <c r="DQ24" s="47"/>
      <c r="DR24" s="47"/>
      <c r="DS24" s="47"/>
      <c r="DT24" s="47"/>
      <c r="DU24" s="47"/>
      <c r="DV24" s="47"/>
      <c r="DW24" s="47"/>
      <c r="DX24" s="47"/>
      <c r="DY24" s="47"/>
      <c r="DZ24" s="47"/>
      <c r="EA24" s="47"/>
      <c r="EB24" s="47"/>
      <c r="EC24" s="47"/>
      <c r="ED24" s="47"/>
      <c r="EE24" s="47"/>
      <c r="EF24" s="47"/>
      <c r="EG24" s="47"/>
      <c r="EH24" s="47"/>
      <c r="EI24" s="47"/>
      <c r="EJ24" s="47"/>
      <c r="EK24" s="113">
        <f t="shared" si="70"/>
        <v>-1</v>
      </c>
      <c r="EL24" s="113">
        <f t="shared" si="71"/>
        <v>-1</v>
      </c>
    </row>
    <row r="25" spans="1:142" s="29" customFormat="1" ht="30" customHeight="1" thickBot="1" x14ac:dyDescent="0.2">
      <c r="A25" s="4"/>
      <c r="B25" s="48" t="s">
        <v>26</v>
      </c>
      <c r="C25" s="49">
        <v>1</v>
      </c>
      <c r="D25" s="61">
        <v>46191</v>
      </c>
      <c r="E25" s="61">
        <v>46192</v>
      </c>
      <c r="F25" s="6"/>
      <c r="G25" s="3">
        <f t="shared" si="65"/>
        <v>2</v>
      </c>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c r="BK25" s="32"/>
      <c r="BL25" s="32"/>
      <c r="BM25" s="32"/>
      <c r="BN25" s="32"/>
      <c r="BO25" s="32"/>
      <c r="BP25" s="32"/>
      <c r="BQ25" s="32"/>
      <c r="BR25" s="32"/>
      <c r="BS25" s="32"/>
      <c r="BT25" s="32"/>
      <c r="BU25" s="32"/>
      <c r="BV25" s="32"/>
      <c r="BW25" s="32"/>
      <c r="BX25" s="32"/>
      <c r="BY25" s="32"/>
      <c r="BZ25" s="32"/>
      <c r="CA25" s="32"/>
      <c r="CB25" s="32"/>
      <c r="CC25" s="32"/>
      <c r="CD25" s="32"/>
      <c r="CE25" s="32"/>
      <c r="CF25" s="32"/>
      <c r="CG25" s="32"/>
      <c r="CH25" s="32"/>
      <c r="CI25" s="32"/>
      <c r="CJ25" s="32"/>
      <c r="CK25" s="32"/>
      <c r="CL25" s="32"/>
      <c r="CM25" s="32"/>
      <c r="CN25" s="32"/>
      <c r="CO25" s="32"/>
      <c r="CP25" s="32"/>
      <c r="CQ25" s="32"/>
      <c r="CR25" s="32"/>
      <c r="CS25" s="32"/>
      <c r="CT25" s="32"/>
      <c r="CU25" s="32"/>
      <c r="CV25" s="32"/>
      <c r="CW25" s="32"/>
      <c r="CX25" s="32"/>
      <c r="CY25" s="32"/>
      <c r="CZ25" s="32"/>
      <c r="DA25" s="32"/>
      <c r="DB25" s="131"/>
      <c r="DC25" s="131"/>
      <c r="DD25" s="131"/>
      <c r="DE25" s="131"/>
      <c r="DF25" s="131"/>
      <c r="DG25" s="131"/>
      <c r="DH25" s="131"/>
      <c r="DI25" s="131"/>
      <c r="DJ25" s="131"/>
      <c r="DK25" s="131"/>
      <c r="DL25" s="131"/>
      <c r="DM25" s="131"/>
      <c r="DN25" s="131"/>
      <c r="DO25" s="132"/>
      <c r="DP25" s="114"/>
      <c r="DQ25" s="32"/>
      <c r="DR25" s="32"/>
      <c r="DS25" s="32"/>
      <c r="DT25" s="32"/>
      <c r="DU25" s="32"/>
      <c r="DV25" s="32"/>
      <c r="DW25" s="32"/>
      <c r="DX25" s="32"/>
      <c r="DY25" s="32"/>
      <c r="DZ25" s="32"/>
      <c r="EA25" s="32"/>
      <c r="EB25" s="32"/>
      <c r="EC25" s="32"/>
      <c r="ED25" s="32"/>
      <c r="EE25" s="32"/>
      <c r="EF25" s="32"/>
      <c r="EG25" s="32"/>
      <c r="EH25" s="32"/>
      <c r="EI25" s="32"/>
      <c r="EJ25" s="32"/>
      <c r="EK25" s="113">
        <f t="shared" si="70"/>
        <v>46190</v>
      </c>
      <c r="EL25" s="113">
        <f t="shared" si="71"/>
        <v>46191</v>
      </c>
    </row>
    <row r="26" spans="1:142" s="29" customFormat="1" ht="30" customHeight="1" thickBot="1" x14ac:dyDescent="0.2">
      <c r="A26" s="4"/>
      <c r="B26" s="65" t="s">
        <v>23</v>
      </c>
      <c r="C26" s="49">
        <v>1</v>
      </c>
      <c r="D26" s="61">
        <v>46192</v>
      </c>
      <c r="E26" s="61">
        <v>46195</v>
      </c>
      <c r="F26" s="6"/>
      <c r="G26" s="3">
        <f t="shared" si="65"/>
        <v>4</v>
      </c>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c r="BK26" s="32"/>
      <c r="BL26" s="32"/>
      <c r="BM26" s="32"/>
      <c r="BN26" s="32"/>
      <c r="BO26" s="32"/>
      <c r="BP26" s="32"/>
      <c r="BQ26" s="32"/>
      <c r="BR26" s="32"/>
      <c r="BS26" s="32"/>
      <c r="BT26" s="32"/>
      <c r="BU26" s="32"/>
      <c r="BV26" s="32"/>
      <c r="BW26" s="32"/>
      <c r="BX26" s="32"/>
      <c r="BY26" s="32"/>
      <c r="BZ26" s="32"/>
      <c r="CA26" s="32"/>
      <c r="CB26" s="32"/>
      <c r="CC26" s="32"/>
      <c r="CD26" s="32"/>
      <c r="CE26" s="32"/>
      <c r="CF26" s="32"/>
      <c r="CG26" s="32"/>
      <c r="CH26" s="32"/>
      <c r="CI26" s="32"/>
      <c r="CJ26" s="32"/>
      <c r="CK26" s="32"/>
      <c r="CL26" s="32"/>
      <c r="CM26" s="32"/>
      <c r="CN26" s="32"/>
      <c r="CO26" s="32"/>
      <c r="CP26" s="32"/>
      <c r="CQ26" s="32"/>
      <c r="CR26" s="32"/>
      <c r="CS26" s="32"/>
      <c r="CT26" s="32"/>
      <c r="CU26" s="32"/>
      <c r="CV26" s="32"/>
      <c r="CW26" s="32"/>
      <c r="CX26" s="32"/>
      <c r="CY26" s="32"/>
      <c r="CZ26" s="32"/>
      <c r="DA26" s="32"/>
      <c r="DB26" s="131"/>
      <c r="DC26" s="131"/>
      <c r="DD26" s="131"/>
      <c r="DE26" s="131"/>
      <c r="DF26" s="131"/>
      <c r="DG26" s="131"/>
      <c r="DH26" s="131"/>
      <c r="DI26" s="131"/>
      <c r="DJ26" s="131"/>
      <c r="DK26" s="131"/>
      <c r="DL26" s="131"/>
      <c r="DM26" s="131"/>
      <c r="DN26" s="131"/>
      <c r="DO26" s="132"/>
      <c r="DP26" s="114"/>
      <c r="DQ26" s="32"/>
      <c r="DR26" s="32"/>
      <c r="DS26" s="32"/>
      <c r="DT26" s="32"/>
      <c r="DU26" s="32"/>
      <c r="DV26" s="32"/>
      <c r="DW26" s="32"/>
      <c r="DX26" s="32"/>
      <c r="DY26" s="32"/>
      <c r="DZ26" s="32"/>
      <c r="EA26" s="32"/>
      <c r="EB26" s="32"/>
      <c r="EC26" s="32"/>
      <c r="ED26" s="32"/>
      <c r="EE26" s="32"/>
      <c r="EF26" s="32"/>
      <c r="EG26" s="32"/>
      <c r="EH26" s="32"/>
      <c r="EI26" s="32"/>
      <c r="EJ26" s="32"/>
      <c r="EK26" s="113">
        <f t="shared" si="70"/>
        <v>46191</v>
      </c>
      <c r="EL26" s="113">
        <f t="shared" si="71"/>
        <v>46194</v>
      </c>
    </row>
    <row r="27" spans="1:142" s="29" customFormat="1" ht="30" customHeight="1" thickBot="1" x14ac:dyDescent="0.2">
      <c r="A27" s="4"/>
      <c r="B27" s="65" t="s">
        <v>30</v>
      </c>
      <c r="C27" s="49">
        <v>0</v>
      </c>
      <c r="D27" s="61">
        <v>46196</v>
      </c>
      <c r="E27" s="61">
        <v>46199</v>
      </c>
      <c r="F27" s="6"/>
      <c r="G27" s="3">
        <f t="shared" si="65"/>
        <v>4</v>
      </c>
      <c r="H27" s="32"/>
      <c r="I27" s="32"/>
      <c r="J27" s="32"/>
      <c r="K27" s="32"/>
      <c r="L27" s="32"/>
      <c r="M27" s="32"/>
      <c r="N27" s="32"/>
      <c r="O27" s="32"/>
      <c r="P27" s="32"/>
      <c r="Q27" s="32"/>
      <c r="R27" s="32"/>
      <c r="S27" s="32"/>
      <c r="T27" s="32"/>
      <c r="U27" s="32"/>
      <c r="V27" s="32"/>
      <c r="W27" s="32"/>
      <c r="X27" s="32"/>
      <c r="Y27" s="32"/>
      <c r="Z27" s="32"/>
      <c r="AA27" s="32"/>
      <c r="AB27" s="32"/>
      <c r="AC27" s="32"/>
      <c r="AD27" s="32"/>
      <c r="AE27" s="32"/>
      <c r="AF27" s="32"/>
      <c r="AG27" s="32"/>
      <c r="AH27" s="32"/>
      <c r="AI27" s="32"/>
      <c r="AJ27" s="32"/>
      <c r="AK27" s="32"/>
      <c r="AL27" s="32"/>
      <c r="AM27" s="32"/>
      <c r="AN27" s="32"/>
      <c r="AO27" s="32"/>
      <c r="AP27" s="32"/>
      <c r="AQ27" s="32"/>
      <c r="AR27" s="32"/>
      <c r="AS27" s="32"/>
      <c r="AT27" s="32"/>
      <c r="AU27" s="32"/>
      <c r="AV27" s="32"/>
      <c r="AW27" s="32"/>
      <c r="AX27" s="32"/>
      <c r="AY27" s="32"/>
      <c r="AZ27" s="32"/>
      <c r="BA27" s="32"/>
      <c r="BB27" s="32"/>
      <c r="BC27" s="32"/>
      <c r="BD27" s="32"/>
      <c r="BE27" s="32"/>
      <c r="BF27" s="32"/>
      <c r="BG27" s="32"/>
      <c r="BH27" s="32"/>
      <c r="BI27" s="32"/>
      <c r="BJ27" s="32"/>
      <c r="BK27" s="32"/>
      <c r="BL27" s="32"/>
      <c r="BM27" s="32"/>
      <c r="BN27" s="32"/>
      <c r="BO27" s="32"/>
      <c r="BP27" s="32"/>
      <c r="BQ27" s="32"/>
      <c r="BR27" s="32"/>
      <c r="BS27" s="32"/>
      <c r="BT27" s="32"/>
      <c r="BU27" s="32"/>
      <c r="BV27" s="32"/>
      <c r="BW27" s="32"/>
      <c r="BX27" s="32"/>
      <c r="BY27" s="32"/>
      <c r="BZ27" s="32"/>
      <c r="CA27" s="32"/>
      <c r="CB27" s="32"/>
      <c r="CC27" s="32"/>
      <c r="CD27" s="32"/>
      <c r="CE27" s="32"/>
      <c r="CF27" s="32"/>
      <c r="CG27" s="32"/>
      <c r="CH27" s="32"/>
      <c r="CI27" s="32"/>
      <c r="CJ27" s="32"/>
      <c r="CK27" s="32"/>
      <c r="CL27" s="32"/>
      <c r="CM27" s="32"/>
      <c r="CN27" s="32"/>
      <c r="CO27" s="32"/>
      <c r="CP27" s="32"/>
      <c r="CQ27" s="32"/>
      <c r="CR27" s="32"/>
      <c r="CS27" s="32"/>
      <c r="CT27" s="32"/>
      <c r="CU27" s="32"/>
      <c r="CV27" s="32"/>
      <c r="CW27" s="32"/>
      <c r="CX27" s="32"/>
      <c r="CY27" s="32"/>
      <c r="CZ27" s="32"/>
      <c r="DA27" s="32"/>
      <c r="DB27" s="131"/>
      <c r="DC27" s="131"/>
      <c r="DD27" s="131"/>
      <c r="DE27" s="131"/>
      <c r="DF27" s="131"/>
      <c r="DG27" s="131"/>
      <c r="DH27" s="131"/>
      <c r="DI27" s="131"/>
      <c r="DJ27" s="131"/>
      <c r="DK27" s="131"/>
      <c r="DL27" s="131"/>
      <c r="DM27" s="131"/>
      <c r="DN27" s="131"/>
      <c r="DO27" s="132"/>
      <c r="DP27" s="114"/>
      <c r="DQ27" s="32"/>
      <c r="DR27" s="32"/>
      <c r="DS27" s="32"/>
      <c r="DT27" s="32"/>
      <c r="DU27" s="32"/>
      <c r="DV27" s="32"/>
      <c r="DW27" s="32"/>
      <c r="DX27" s="32"/>
      <c r="DY27" s="32"/>
      <c r="DZ27" s="32"/>
      <c r="EA27" s="32"/>
      <c r="EB27" s="32"/>
      <c r="EC27" s="32"/>
      <c r="ED27" s="32"/>
      <c r="EE27" s="32"/>
      <c r="EF27" s="32"/>
      <c r="EG27" s="32"/>
      <c r="EH27" s="32"/>
      <c r="EI27" s="32"/>
      <c r="EJ27" s="32"/>
      <c r="EK27" s="113">
        <f t="shared" si="70"/>
        <v>46195</v>
      </c>
      <c r="EL27" s="113">
        <f t="shared" si="71"/>
        <v>46198</v>
      </c>
    </row>
    <row r="28" spans="1:142" s="29" customFormat="1" ht="30" customHeight="1" thickBot="1" x14ac:dyDescent="0.2">
      <c r="A28" s="4"/>
      <c r="B28" s="70" t="s">
        <v>25</v>
      </c>
      <c r="C28" s="71">
        <v>0.8</v>
      </c>
      <c r="D28" s="72">
        <v>46199</v>
      </c>
      <c r="E28" s="72">
        <v>46199</v>
      </c>
      <c r="F28" s="6"/>
      <c r="G28" s="3">
        <f t="shared" si="65"/>
        <v>1</v>
      </c>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c r="CY28" s="32"/>
      <c r="CZ28" s="32"/>
      <c r="DA28" s="32"/>
      <c r="DB28" s="131"/>
      <c r="DC28" s="131"/>
      <c r="DD28" s="131"/>
      <c r="DE28" s="131"/>
      <c r="DF28" s="131"/>
      <c r="DG28" s="131"/>
      <c r="DH28" s="131"/>
      <c r="DI28" s="131"/>
      <c r="DJ28" s="131"/>
      <c r="DK28" s="131"/>
      <c r="DL28" s="131"/>
      <c r="DM28" s="131"/>
      <c r="DN28" s="131"/>
      <c r="DO28" s="132"/>
      <c r="DP28" s="114"/>
      <c r="DQ28" s="32"/>
      <c r="DR28" s="32"/>
      <c r="DS28" s="32"/>
      <c r="DT28" s="32"/>
      <c r="DU28" s="32"/>
      <c r="DV28" s="32"/>
      <c r="DW28" s="32"/>
      <c r="DX28" s="32"/>
      <c r="DY28" s="32"/>
      <c r="DZ28" s="32"/>
      <c r="EA28" s="32"/>
      <c r="EB28" s="32"/>
      <c r="EC28" s="32"/>
      <c r="ED28" s="32"/>
      <c r="EE28" s="32"/>
      <c r="EF28" s="32"/>
      <c r="EG28" s="32"/>
      <c r="EH28" s="32"/>
      <c r="EI28" s="32"/>
      <c r="EJ28" s="32"/>
      <c r="EK28" s="113">
        <f t="shared" si="70"/>
        <v>46198</v>
      </c>
      <c r="EL28" s="113">
        <f t="shared" si="71"/>
        <v>46198</v>
      </c>
    </row>
    <row r="29" spans="1:142" s="29" customFormat="1" ht="30" customHeight="1" thickBot="1" x14ac:dyDescent="0.2">
      <c r="A29" s="4"/>
      <c r="B29" s="73" t="s">
        <v>27</v>
      </c>
      <c r="C29" s="74"/>
      <c r="D29" s="75"/>
      <c r="E29" s="76"/>
      <c r="F29" s="6"/>
      <c r="G29" s="3" t="str">
        <f t="shared" si="65"/>
        <v/>
      </c>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47"/>
      <c r="AK29" s="47"/>
      <c r="AL29" s="47"/>
      <c r="AM29" s="47"/>
      <c r="AN29" s="47"/>
      <c r="AO29" s="47"/>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c r="CP29" s="47"/>
      <c r="CQ29" s="47"/>
      <c r="CR29" s="47"/>
      <c r="CS29" s="47"/>
      <c r="CT29" s="47"/>
      <c r="CU29" s="47"/>
      <c r="CV29" s="47"/>
      <c r="CW29" s="47"/>
      <c r="CX29" s="47"/>
      <c r="CY29" s="47"/>
      <c r="CZ29" s="47"/>
      <c r="DA29" s="47"/>
      <c r="DB29" s="131"/>
      <c r="DC29" s="131"/>
      <c r="DD29" s="131"/>
      <c r="DE29" s="131"/>
      <c r="DF29" s="131"/>
      <c r="DG29" s="131"/>
      <c r="DH29" s="131"/>
      <c r="DI29" s="131"/>
      <c r="DJ29" s="131"/>
      <c r="DK29" s="131"/>
      <c r="DL29" s="131"/>
      <c r="DM29" s="131"/>
      <c r="DN29" s="131"/>
      <c r="DO29" s="132"/>
      <c r="DP29" s="47"/>
      <c r="DQ29" s="47"/>
      <c r="DR29" s="47"/>
      <c r="DS29" s="47"/>
      <c r="DT29" s="47"/>
      <c r="DU29" s="47"/>
      <c r="DV29" s="47"/>
      <c r="DW29" s="47"/>
      <c r="DX29" s="47"/>
      <c r="DY29" s="47"/>
      <c r="DZ29" s="47"/>
      <c r="EA29" s="47"/>
      <c r="EB29" s="47"/>
      <c r="EC29" s="47"/>
      <c r="ED29" s="47"/>
      <c r="EE29" s="47"/>
      <c r="EF29" s="47"/>
      <c r="EG29" s="47"/>
      <c r="EH29" s="47"/>
      <c r="EI29" s="47"/>
      <c r="EJ29" s="47"/>
      <c r="EK29" s="113">
        <f t="shared" si="70"/>
        <v>-1</v>
      </c>
      <c r="EL29" s="113">
        <f t="shared" si="71"/>
        <v>-1</v>
      </c>
    </row>
    <row r="30" spans="1:142" s="29" customFormat="1" ht="30" customHeight="1" thickBot="1" x14ac:dyDescent="0.2">
      <c r="A30" s="4"/>
      <c r="B30" s="89" t="s">
        <v>28</v>
      </c>
      <c r="C30" s="82">
        <v>1</v>
      </c>
      <c r="D30" s="83">
        <v>46200</v>
      </c>
      <c r="E30" s="84">
        <v>46204</v>
      </c>
      <c r="F30" s="6"/>
      <c r="G30" s="3">
        <f t="shared" si="65"/>
        <v>5</v>
      </c>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c r="BK30" s="32"/>
      <c r="BL30" s="32"/>
      <c r="BM30" s="32"/>
      <c r="BN30" s="32"/>
      <c r="BO30" s="32"/>
      <c r="BP30" s="32"/>
      <c r="BQ30" s="32"/>
      <c r="BR30" s="32"/>
      <c r="BS30" s="32"/>
      <c r="BT30" s="32"/>
      <c r="BU30" s="32"/>
      <c r="BV30" s="32"/>
      <c r="BW30" s="32"/>
      <c r="BX30" s="32"/>
      <c r="BY30" s="32"/>
      <c r="BZ30" s="32"/>
      <c r="CA30" s="32"/>
      <c r="CB30" s="32"/>
      <c r="CC30" s="32"/>
      <c r="CD30" s="32"/>
      <c r="CE30" s="32"/>
      <c r="CF30" s="32"/>
      <c r="CG30" s="32"/>
      <c r="CH30" s="32"/>
      <c r="CI30" s="32"/>
      <c r="CJ30" s="32"/>
      <c r="CK30" s="32"/>
      <c r="CL30" s="32"/>
      <c r="CM30" s="32"/>
      <c r="CN30" s="32"/>
      <c r="CO30" s="32"/>
      <c r="CP30" s="32"/>
      <c r="CQ30" s="32"/>
      <c r="CR30" s="32"/>
      <c r="CS30" s="32"/>
      <c r="CT30" s="32"/>
      <c r="CU30" s="32"/>
      <c r="CV30" s="32"/>
      <c r="CW30" s="32"/>
      <c r="CX30" s="32"/>
      <c r="CY30" s="32"/>
      <c r="CZ30" s="32"/>
      <c r="DA30" s="32"/>
      <c r="DB30" s="131"/>
      <c r="DC30" s="131"/>
      <c r="DD30" s="131"/>
      <c r="DE30" s="131"/>
      <c r="DF30" s="131"/>
      <c r="DG30" s="131"/>
      <c r="DH30" s="131"/>
      <c r="DI30" s="131"/>
      <c r="DJ30" s="131"/>
      <c r="DK30" s="131"/>
      <c r="DL30" s="131"/>
      <c r="DM30" s="131"/>
      <c r="DN30" s="131"/>
      <c r="DO30" s="132"/>
      <c r="DP30" s="114"/>
      <c r="DQ30" s="32"/>
      <c r="DR30" s="32"/>
      <c r="DS30" s="32"/>
      <c r="DT30" s="32"/>
      <c r="DU30" s="32"/>
      <c r="DV30" s="32"/>
      <c r="DW30" s="32"/>
      <c r="DX30" s="32"/>
      <c r="DY30" s="32"/>
      <c r="DZ30" s="32"/>
      <c r="EA30" s="32"/>
      <c r="EB30" s="32"/>
      <c r="EC30" s="32"/>
      <c r="ED30" s="32"/>
      <c r="EE30" s="32"/>
      <c r="EF30" s="32"/>
      <c r="EG30" s="32"/>
      <c r="EH30" s="32"/>
      <c r="EI30" s="32"/>
      <c r="EJ30" s="32"/>
      <c r="EK30" s="113">
        <f t="shared" si="70"/>
        <v>46199</v>
      </c>
      <c r="EL30" s="113">
        <f t="shared" si="71"/>
        <v>46203</v>
      </c>
    </row>
    <row r="31" spans="1:142" s="29" customFormat="1" ht="30" customHeight="1" thickBot="1" x14ac:dyDescent="0.2">
      <c r="A31" s="4"/>
      <c r="B31" s="85" t="s">
        <v>29</v>
      </c>
      <c r="C31" s="86">
        <v>1</v>
      </c>
      <c r="D31" s="87">
        <v>46205</v>
      </c>
      <c r="E31" s="88">
        <v>46207</v>
      </c>
      <c r="F31" s="6"/>
      <c r="G31" s="3">
        <f t="shared" si="65"/>
        <v>3</v>
      </c>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c r="BK31" s="32"/>
      <c r="BL31" s="32"/>
      <c r="BM31" s="32"/>
      <c r="BN31" s="32"/>
      <c r="BO31" s="32"/>
      <c r="BP31" s="32"/>
      <c r="BQ31" s="32"/>
      <c r="BR31" s="32"/>
      <c r="BS31" s="32"/>
      <c r="BT31" s="32"/>
      <c r="BU31" s="32"/>
      <c r="BV31" s="32"/>
      <c r="BW31" s="32"/>
      <c r="BX31" s="32"/>
      <c r="BY31" s="32"/>
      <c r="BZ31" s="32"/>
      <c r="CA31" s="32"/>
      <c r="CB31" s="32"/>
      <c r="CC31" s="32"/>
      <c r="CD31" s="32"/>
      <c r="CE31" s="32"/>
      <c r="CF31" s="32"/>
      <c r="CG31" s="32"/>
      <c r="CH31" s="32"/>
      <c r="CI31" s="32"/>
      <c r="CJ31" s="32"/>
      <c r="CK31" s="32"/>
      <c r="CL31" s="32"/>
      <c r="CM31" s="32"/>
      <c r="CN31" s="32"/>
      <c r="CO31" s="32"/>
      <c r="CP31" s="32"/>
      <c r="CQ31" s="32"/>
      <c r="CR31" s="32"/>
      <c r="CS31" s="32"/>
      <c r="CT31" s="32"/>
      <c r="CU31" s="32"/>
      <c r="CV31" s="32"/>
      <c r="CW31" s="32"/>
      <c r="CX31" s="32"/>
      <c r="CY31" s="32"/>
      <c r="CZ31" s="32"/>
      <c r="DA31" s="32"/>
      <c r="DB31" s="131"/>
      <c r="DC31" s="131"/>
      <c r="DD31" s="131"/>
      <c r="DE31" s="131"/>
      <c r="DF31" s="131"/>
      <c r="DG31" s="131"/>
      <c r="DH31" s="131"/>
      <c r="DI31" s="131"/>
      <c r="DJ31" s="131"/>
      <c r="DK31" s="131"/>
      <c r="DL31" s="131"/>
      <c r="DM31" s="131"/>
      <c r="DN31" s="131"/>
      <c r="DO31" s="132"/>
      <c r="DP31" s="114"/>
      <c r="DQ31" s="32"/>
      <c r="DR31" s="32"/>
      <c r="DS31" s="32"/>
      <c r="DT31" s="32"/>
      <c r="DU31" s="32"/>
      <c r="DV31" s="32"/>
      <c r="DW31" s="32"/>
      <c r="DX31" s="32"/>
      <c r="DY31" s="32"/>
      <c r="DZ31" s="32"/>
      <c r="EA31" s="32"/>
      <c r="EB31" s="32"/>
      <c r="EC31" s="32"/>
      <c r="ED31" s="32"/>
      <c r="EE31" s="32"/>
      <c r="EF31" s="32"/>
      <c r="EG31" s="32"/>
      <c r="EH31" s="32"/>
      <c r="EI31" s="32"/>
      <c r="EJ31" s="32"/>
      <c r="EK31" s="113">
        <f t="shared" si="70"/>
        <v>46204</v>
      </c>
      <c r="EL31" s="113">
        <f t="shared" si="71"/>
        <v>46206</v>
      </c>
    </row>
    <row r="32" spans="1:142" s="29" customFormat="1" ht="30" customHeight="1" thickBot="1" x14ac:dyDescent="0.2">
      <c r="A32" s="4"/>
      <c r="B32" s="81" t="s">
        <v>30</v>
      </c>
      <c r="C32" s="82">
        <v>0.8</v>
      </c>
      <c r="D32" s="83">
        <v>46208</v>
      </c>
      <c r="E32" s="84">
        <v>46211</v>
      </c>
      <c r="F32" s="6"/>
      <c r="G32" s="3">
        <f t="shared" si="65"/>
        <v>4</v>
      </c>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c r="BK32" s="32"/>
      <c r="BL32" s="32"/>
      <c r="BM32" s="32"/>
      <c r="BN32" s="32"/>
      <c r="BO32" s="32"/>
      <c r="BP32" s="32"/>
      <c r="BQ32" s="32"/>
      <c r="BR32" s="32"/>
      <c r="BS32" s="32"/>
      <c r="BT32" s="32"/>
      <c r="BU32" s="32"/>
      <c r="BV32" s="32"/>
      <c r="BW32" s="32"/>
      <c r="BX32" s="32"/>
      <c r="BY32" s="32"/>
      <c r="BZ32" s="32"/>
      <c r="CA32" s="32"/>
      <c r="CB32" s="32"/>
      <c r="CC32" s="32"/>
      <c r="CD32" s="32"/>
      <c r="CE32" s="32"/>
      <c r="CF32" s="32"/>
      <c r="CG32" s="32"/>
      <c r="CH32" s="32"/>
      <c r="CI32" s="32"/>
      <c r="CJ32" s="32"/>
      <c r="CK32" s="32"/>
      <c r="CL32" s="32"/>
      <c r="CM32" s="32"/>
      <c r="CN32" s="32"/>
      <c r="CO32" s="32"/>
      <c r="CP32" s="32"/>
      <c r="CQ32" s="32"/>
      <c r="CR32" s="32"/>
      <c r="CS32" s="32"/>
      <c r="CT32" s="32"/>
      <c r="CU32" s="32"/>
      <c r="CV32" s="32"/>
      <c r="CW32" s="32"/>
      <c r="CX32" s="32"/>
      <c r="CY32" s="32"/>
      <c r="CZ32" s="32"/>
      <c r="DA32" s="32"/>
      <c r="DB32" s="131"/>
      <c r="DC32" s="131"/>
      <c r="DD32" s="131"/>
      <c r="DE32" s="131"/>
      <c r="DF32" s="131"/>
      <c r="DG32" s="131"/>
      <c r="DH32" s="131"/>
      <c r="DI32" s="131"/>
      <c r="DJ32" s="131"/>
      <c r="DK32" s="131"/>
      <c r="DL32" s="131"/>
      <c r="DM32" s="131"/>
      <c r="DN32" s="131"/>
      <c r="DO32" s="132"/>
      <c r="DP32" s="114"/>
      <c r="DQ32" s="32"/>
      <c r="DR32" s="32"/>
      <c r="DS32" s="32"/>
      <c r="DT32" s="32"/>
      <c r="DU32" s="32"/>
      <c r="DV32" s="32"/>
      <c r="DW32" s="32"/>
      <c r="DX32" s="32"/>
      <c r="DY32" s="32"/>
      <c r="DZ32" s="32"/>
      <c r="EA32" s="32"/>
      <c r="EB32" s="32"/>
      <c r="EC32" s="32"/>
      <c r="ED32" s="32"/>
      <c r="EE32" s="32"/>
      <c r="EF32" s="32"/>
      <c r="EG32" s="32"/>
      <c r="EH32" s="32"/>
      <c r="EI32" s="32"/>
      <c r="EJ32" s="32"/>
      <c r="EK32" s="113">
        <f t="shared" si="70"/>
        <v>46207</v>
      </c>
      <c r="EL32" s="113">
        <f t="shared" si="71"/>
        <v>46210</v>
      </c>
    </row>
    <row r="33" spans="1:142" s="29" customFormat="1" ht="30" customHeight="1" thickBot="1" x14ac:dyDescent="0.2">
      <c r="A33" s="4"/>
      <c r="B33" s="77" t="s">
        <v>31</v>
      </c>
      <c r="C33" s="78">
        <v>0.9</v>
      </c>
      <c r="D33" s="79">
        <v>46212</v>
      </c>
      <c r="E33" s="80">
        <v>46212</v>
      </c>
      <c r="F33" s="6"/>
      <c r="G33" s="3">
        <f t="shared" si="65"/>
        <v>1</v>
      </c>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32"/>
      <c r="AH33" s="32"/>
      <c r="AI33" s="32"/>
      <c r="AJ33" s="32"/>
      <c r="AK33" s="32"/>
      <c r="AL33" s="32"/>
      <c r="AM33" s="32"/>
      <c r="AN33" s="32"/>
      <c r="AO33" s="32"/>
      <c r="AP33" s="32"/>
      <c r="AQ33" s="32"/>
      <c r="AR33" s="32"/>
      <c r="AS33" s="32"/>
      <c r="AT33" s="32"/>
      <c r="AU33" s="32"/>
      <c r="AV33" s="32"/>
      <c r="AW33" s="32"/>
      <c r="AX33" s="32"/>
      <c r="AY33" s="32"/>
      <c r="AZ33" s="32"/>
      <c r="BA33" s="32"/>
      <c r="BB33" s="32"/>
      <c r="BC33" s="32"/>
      <c r="BD33" s="32"/>
      <c r="BE33" s="32"/>
      <c r="BF33" s="32"/>
      <c r="BG33" s="32"/>
      <c r="BH33" s="32"/>
      <c r="BI33" s="32"/>
      <c r="BJ33" s="32"/>
      <c r="BK33" s="32"/>
      <c r="BL33" s="32"/>
      <c r="BM33" s="32"/>
      <c r="BN33" s="32"/>
      <c r="BO33" s="32"/>
      <c r="BP33" s="32"/>
      <c r="BQ33" s="32"/>
      <c r="BR33" s="32"/>
      <c r="BS33" s="32"/>
      <c r="BT33" s="32"/>
      <c r="BU33" s="32"/>
      <c r="BV33" s="32"/>
      <c r="BW33" s="32"/>
      <c r="BX33" s="32"/>
      <c r="BY33" s="32"/>
      <c r="BZ33" s="32"/>
      <c r="CA33" s="32"/>
      <c r="CB33" s="32"/>
      <c r="CC33" s="32"/>
      <c r="CD33" s="32"/>
      <c r="CE33" s="32"/>
      <c r="CF33" s="32"/>
      <c r="CG33" s="32"/>
      <c r="CH33" s="32"/>
      <c r="CI33" s="32"/>
      <c r="CJ33" s="32"/>
      <c r="CK33" s="32"/>
      <c r="CL33" s="32"/>
      <c r="CM33" s="32"/>
      <c r="CN33" s="32"/>
      <c r="CO33" s="32"/>
      <c r="CP33" s="32"/>
      <c r="CQ33" s="32"/>
      <c r="CR33" s="32"/>
      <c r="CS33" s="32"/>
      <c r="CT33" s="32"/>
      <c r="CU33" s="32"/>
      <c r="CV33" s="32"/>
      <c r="CW33" s="32"/>
      <c r="CX33" s="32"/>
      <c r="CY33" s="32"/>
      <c r="CZ33" s="32"/>
      <c r="DA33" s="32"/>
      <c r="DB33" s="131"/>
      <c r="DC33" s="131"/>
      <c r="DD33" s="131"/>
      <c r="DE33" s="131"/>
      <c r="DF33" s="131"/>
      <c r="DG33" s="131"/>
      <c r="DH33" s="131"/>
      <c r="DI33" s="131"/>
      <c r="DJ33" s="131"/>
      <c r="DK33" s="131"/>
      <c r="DL33" s="131"/>
      <c r="DM33" s="131"/>
      <c r="DN33" s="131"/>
      <c r="DO33" s="132"/>
      <c r="DP33" s="114"/>
      <c r="DQ33" s="32"/>
      <c r="DR33" s="32"/>
      <c r="DS33" s="32"/>
      <c r="DT33" s="32"/>
      <c r="DU33" s="32"/>
      <c r="DV33" s="32"/>
      <c r="DW33" s="32"/>
      <c r="DX33" s="32"/>
      <c r="DY33" s="32"/>
      <c r="DZ33" s="32"/>
      <c r="EA33" s="32"/>
      <c r="EB33" s="32"/>
      <c r="EC33" s="32"/>
      <c r="ED33" s="32"/>
      <c r="EE33" s="32"/>
      <c r="EF33" s="32"/>
      <c r="EG33" s="32"/>
      <c r="EH33" s="32"/>
      <c r="EI33" s="32"/>
      <c r="EJ33" s="32"/>
      <c r="EK33" s="113">
        <f t="shared" si="70"/>
        <v>46211</v>
      </c>
      <c r="EL33" s="113">
        <f t="shared" si="71"/>
        <v>46211</v>
      </c>
    </row>
    <row r="34" spans="1:142" s="29" customFormat="1" ht="30" customHeight="1" thickBot="1" x14ac:dyDescent="0.2">
      <c r="A34" s="4"/>
      <c r="B34" s="66" t="s">
        <v>32</v>
      </c>
      <c r="C34" s="67"/>
      <c r="D34" s="68"/>
      <c r="E34" s="69"/>
      <c r="F34" s="6"/>
      <c r="G34" s="3" t="str">
        <f t="shared" si="65"/>
        <v/>
      </c>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47"/>
      <c r="AK34" s="47"/>
      <c r="AL34" s="47"/>
      <c r="AM34" s="47"/>
      <c r="AN34" s="47"/>
      <c r="AO34" s="47"/>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c r="CP34" s="47"/>
      <c r="CQ34" s="47"/>
      <c r="CR34" s="47"/>
      <c r="CS34" s="47"/>
      <c r="CT34" s="47"/>
      <c r="CU34" s="47"/>
      <c r="CV34" s="47"/>
      <c r="CW34" s="47"/>
      <c r="CX34" s="47"/>
      <c r="CY34" s="47"/>
      <c r="CZ34" s="47"/>
      <c r="DA34" s="47"/>
      <c r="DB34" s="131"/>
      <c r="DC34" s="131"/>
      <c r="DD34" s="131"/>
      <c r="DE34" s="131"/>
      <c r="DF34" s="131"/>
      <c r="DG34" s="131"/>
      <c r="DH34" s="131"/>
      <c r="DI34" s="131"/>
      <c r="DJ34" s="131"/>
      <c r="DK34" s="131"/>
      <c r="DL34" s="131"/>
      <c r="DM34" s="131"/>
      <c r="DN34" s="131"/>
      <c r="DO34" s="132"/>
      <c r="DP34" s="47"/>
      <c r="DQ34" s="47"/>
      <c r="DR34" s="47"/>
      <c r="DS34" s="47"/>
      <c r="DT34" s="47"/>
      <c r="DU34" s="47"/>
      <c r="DV34" s="47"/>
      <c r="DW34" s="47"/>
      <c r="DX34" s="47"/>
      <c r="DY34" s="47"/>
      <c r="DZ34" s="47"/>
      <c r="EA34" s="47"/>
      <c r="EB34" s="47"/>
      <c r="EC34" s="47"/>
      <c r="ED34" s="47"/>
      <c r="EE34" s="47"/>
      <c r="EF34" s="47"/>
      <c r="EG34" s="47"/>
      <c r="EH34" s="47"/>
      <c r="EI34" s="47"/>
      <c r="EJ34" s="47"/>
      <c r="EK34" s="113">
        <f t="shared" si="70"/>
        <v>-1</v>
      </c>
      <c r="EL34" s="113">
        <f t="shared" si="71"/>
        <v>-1</v>
      </c>
    </row>
    <row r="35" spans="1:142" s="29" customFormat="1" ht="30" customHeight="1" thickBot="1" x14ac:dyDescent="0.2">
      <c r="A35" s="4"/>
      <c r="B35" s="94" t="s">
        <v>33</v>
      </c>
      <c r="C35" s="95">
        <v>1</v>
      </c>
      <c r="D35" s="96">
        <v>46213</v>
      </c>
      <c r="E35" s="97">
        <v>46217</v>
      </c>
      <c r="F35" s="6"/>
      <c r="G35" s="3">
        <f t="shared" si="65"/>
        <v>5</v>
      </c>
      <c r="H35" s="32"/>
      <c r="I35" s="32"/>
      <c r="J35" s="32"/>
      <c r="K35" s="32"/>
      <c r="L35" s="32"/>
      <c r="M35" s="32"/>
      <c r="N35" s="32"/>
      <c r="O35" s="32"/>
      <c r="P35" s="32"/>
      <c r="Q35" s="32"/>
      <c r="R35" s="32"/>
      <c r="S35" s="32"/>
      <c r="T35" s="32"/>
      <c r="U35" s="32"/>
      <c r="V35" s="32"/>
      <c r="W35" s="32"/>
      <c r="X35" s="32"/>
      <c r="Y35" s="32"/>
      <c r="Z35" s="32"/>
      <c r="AA35" s="32"/>
      <c r="AB35" s="32"/>
      <c r="AC35" s="32"/>
      <c r="AD35" s="32"/>
      <c r="AE35" s="32"/>
      <c r="AF35" s="32"/>
      <c r="AG35" s="32"/>
      <c r="AH35" s="32"/>
      <c r="AI35" s="32"/>
      <c r="AJ35" s="32"/>
      <c r="AK35" s="32"/>
      <c r="AL35" s="32"/>
      <c r="AM35" s="32"/>
      <c r="AN35" s="32"/>
      <c r="AO35" s="32"/>
      <c r="AP35" s="32"/>
      <c r="AQ35" s="32"/>
      <c r="AR35" s="32"/>
      <c r="AS35" s="32"/>
      <c r="AT35" s="32"/>
      <c r="AU35" s="32"/>
      <c r="AV35" s="32"/>
      <c r="AW35" s="32"/>
      <c r="AX35" s="32"/>
      <c r="AY35" s="32"/>
      <c r="AZ35" s="32"/>
      <c r="BA35" s="32"/>
      <c r="BB35" s="32"/>
      <c r="BC35" s="32"/>
      <c r="BD35" s="32"/>
      <c r="BE35" s="32"/>
      <c r="BF35" s="32"/>
      <c r="BG35" s="32"/>
      <c r="BH35" s="32"/>
      <c r="BI35" s="32"/>
      <c r="BJ35" s="32"/>
      <c r="BK35" s="32"/>
      <c r="BL35" s="32"/>
      <c r="BM35" s="32"/>
      <c r="BN35" s="32"/>
      <c r="BO35" s="32"/>
      <c r="BP35" s="32"/>
      <c r="BQ35" s="32"/>
      <c r="BR35" s="32"/>
      <c r="BS35" s="32"/>
      <c r="BT35" s="32"/>
      <c r="BU35" s="32"/>
      <c r="BV35" s="32"/>
      <c r="BW35" s="32"/>
      <c r="BX35" s="32"/>
      <c r="BY35" s="32"/>
      <c r="BZ35" s="32"/>
      <c r="CA35" s="32"/>
      <c r="CB35" s="32"/>
      <c r="CC35" s="32"/>
      <c r="CD35" s="32"/>
      <c r="CE35" s="32"/>
      <c r="CF35" s="32"/>
      <c r="CG35" s="32"/>
      <c r="CH35" s="32"/>
      <c r="CI35" s="32"/>
      <c r="CJ35" s="32"/>
      <c r="CK35" s="32"/>
      <c r="CL35" s="32"/>
      <c r="CM35" s="32"/>
      <c r="CN35" s="32"/>
      <c r="CO35" s="32"/>
      <c r="CP35" s="32"/>
      <c r="CQ35" s="32"/>
      <c r="CR35" s="32"/>
      <c r="CS35" s="32"/>
      <c r="CT35" s="32"/>
      <c r="CU35" s="32"/>
      <c r="CV35" s="32"/>
      <c r="CW35" s="32"/>
      <c r="CX35" s="32"/>
      <c r="CY35" s="32"/>
      <c r="CZ35" s="32"/>
      <c r="DA35" s="32"/>
      <c r="DB35" s="131"/>
      <c r="DC35" s="131"/>
      <c r="DD35" s="131"/>
      <c r="DE35" s="131"/>
      <c r="DF35" s="131"/>
      <c r="DG35" s="131"/>
      <c r="DH35" s="131"/>
      <c r="DI35" s="131"/>
      <c r="DJ35" s="131"/>
      <c r="DK35" s="131"/>
      <c r="DL35" s="131"/>
      <c r="DM35" s="131"/>
      <c r="DN35" s="131"/>
      <c r="DO35" s="132"/>
      <c r="DP35" s="114"/>
      <c r="DQ35" s="32"/>
      <c r="DR35" s="32"/>
      <c r="DS35" s="32"/>
      <c r="DT35" s="32"/>
      <c r="DU35" s="32"/>
      <c r="DV35" s="32"/>
      <c r="DW35" s="32"/>
      <c r="DX35" s="32"/>
      <c r="DY35" s="32"/>
      <c r="DZ35" s="32"/>
      <c r="EA35" s="32"/>
      <c r="EB35" s="32"/>
      <c r="EC35" s="32"/>
      <c r="ED35" s="32"/>
      <c r="EE35" s="32"/>
      <c r="EF35" s="32"/>
      <c r="EG35" s="32"/>
      <c r="EH35" s="32"/>
      <c r="EI35" s="32"/>
      <c r="EJ35" s="32"/>
      <c r="EK35" s="113">
        <f t="shared" si="70"/>
        <v>46212</v>
      </c>
      <c r="EL35" s="113">
        <f t="shared" si="71"/>
        <v>46216</v>
      </c>
    </row>
    <row r="36" spans="1:142" s="29" customFormat="1" ht="30" customHeight="1" thickBot="1" x14ac:dyDescent="0.2">
      <c r="A36" s="4"/>
      <c r="B36" s="98" t="s">
        <v>34</v>
      </c>
      <c r="C36" s="99">
        <v>1</v>
      </c>
      <c r="D36" s="100">
        <v>46218</v>
      </c>
      <c r="E36" s="101">
        <v>46219</v>
      </c>
      <c r="F36" s="6"/>
      <c r="G36" s="3">
        <f t="shared" si="65"/>
        <v>2</v>
      </c>
      <c r="H36" s="32"/>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c r="BD36" s="32"/>
      <c r="BE36" s="32"/>
      <c r="BF36" s="32"/>
      <c r="BG36" s="32"/>
      <c r="BH36" s="32"/>
      <c r="BI36" s="32"/>
      <c r="BJ36" s="32"/>
      <c r="BK36" s="32"/>
      <c r="BL36" s="32"/>
      <c r="BM36" s="32"/>
      <c r="BN36" s="32"/>
      <c r="BO36" s="32"/>
      <c r="BP36" s="32"/>
      <c r="BQ36" s="32"/>
      <c r="BR36" s="32"/>
      <c r="BS36" s="32"/>
      <c r="BT36" s="32"/>
      <c r="BU36" s="32"/>
      <c r="BV36" s="32"/>
      <c r="BW36" s="32"/>
      <c r="BX36" s="32"/>
      <c r="BY36" s="32"/>
      <c r="BZ36" s="32"/>
      <c r="CA36" s="32"/>
      <c r="CB36" s="32"/>
      <c r="CC36" s="32"/>
      <c r="CD36" s="32"/>
      <c r="CE36" s="32"/>
      <c r="CF36" s="32"/>
      <c r="CG36" s="32"/>
      <c r="CH36" s="32"/>
      <c r="CI36" s="32"/>
      <c r="CJ36" s="32"/>
      <c r="CK36" s="32"/>
      <c r="CL36" s="32"/>
      <c r="CM36" s="32"/>
      <c r="CN36" s="32"/>
      <c r="CO36" s="32"/>
      <c r="CP36" s="32"/>
      <c r="CQ36" s="32"/>
      <c r="CR36" s="32"/>
      <c r="CS36" s="32"/>
      <c r="CT36" s="32"/>
      <c r="CU36" s="32"/>
      <c r="CV36" s="32"/>
      <c r="CW36" s="32"/>
      <c r="CX36" s="32"/>
      <c r="CY36" s="32"/>
      <c r="CZ36" s="32"/>
      <c r="DA36" s="32"/>
      <c r="DB36" s="131"/>
      <c r="DC36" s="131"/>
      <c r="DD36" s="131"/>
      <c r="DE36" s="131"/>
      <c r="DF36" s="131"/>
      <c r="DG36" s="131"/>
      <c r="DH36" s="131"/>
      <c r="DI36" s="131"/>
      <c r="DJ36" s="131"/>
      <c r="DK36" s="131"/>
      <c r="DL36" s="131"/>
      <c r="DM36" s="131"/>
      <c r="DN36" s="131"/>
      <c r="DO36" s="132"/>
      <c r="DP36" s="114"/>
      <c r="DQ36" s="32"/>
      <c r="DR36" s="32"/>
      <c r="DS36" s="32"/>
      <c r="DT36" s="32"/>
      <c r="DU36" s="32"/>
      <c r="DV36" s="32"/>
      <c r="DW36" s="32"/>
      <c r="DX36" s="32"/>
      <c r="DY36" s="32"/>
      <c r="DZ36" s="32"/>
      <c r="EA36" s="32"/>
      <c r="EB36" s="32"/>
      <c r="EC36" s="32"/>
      <c r="ED36" s="32"/>
      <c r="EE36" s="32"/>
      <c r="EF36" s="32"/>
      <c r="EG36" s="32"/>
      <c r="EH36" s="32"/>
      <c r="EI36" s="32"/>
      <c r="EJ36" s="32"/>
      <c r="EK36" s="113">
        <f t="shared" si="70"/>
        <v>46217</v>
      </c>
      <c r="EL36" s="113">
        <f t="shared" si="71"/>
        <v>46218</v>
      </c>
    </row>
    <row r="37" spans="1:142" s="29" customFormat="1" ht="30" customHeight="1" thickBot="1" x14ac:dyDescent="0.2">
      <c r="A37" s="4"/>
      <c r="B37" s="102" t="s">
        <v>35</v>
      </c>
      <c r="C37" s="99">
        <v>0</v>
      </c>
      <c r="D37" s="100">
        <v>46220</v>
      </c>
      <c r="E37" s="103">
        <v>46222</v>
      </c>
      <c r="F37" s="6"/>
      <c r="G37" s="3">
        <f t="shared" si="65"/>
        <v>3</v>
      </c>
      <c r="H37" s="32"/>
      <c r="I37" s="32"/>
      <c r="J37" s="32"/>
      <c r="K37" s="32"/>
      <c r="L37" s="32"/>
      <c r="M37" s="32"/>
      <c r="N37" s="32"/>
      <c r="O37" s="32"/>
      <c r="P37" s="32"/>
      <c r="Q37" s="32"/>
      <c r="R37" s="32"/>
      <c r="S37" s="32"/>
      <c r="T37" s="32"/>
      <c r="U37" s="32"/>
      <c r="V37" s="32"/>
      <c r="W37" s="32"/>
      <c r="X37" s="32"/>
      <c r="Y37" s="32"/>
      <c r="Z37" s="32"/>
      <c r="AA37" s="32"/>
      <c r="AB37" s="32"/>
      <c r="AC37" s="32"/>
      <c r="AD37" s="32"/>
      <c r="AE37" s="32"/>
      <c r="AF37" s="32"/>
      <c r="AG37" s="32"/>
      <c r="AH37" s="32"/>
      <c r="AI37" s="32"/>
      <c r="AJ37" s="32"/>
      <c r="AK37" s="32"/>
      <c r="AL37" s="32"/>
      <c r="AM37" s="32"/>
      <c r="AN37" s="32"/>
      <c r="AO37" s="32"/>
      <c r="AP37" s="32"/>
      <c r="AQ37" s="32"/>
      <c r="AR37" s="32"/>
      <c r="AS37" s="32"/>
      <c r="AT37" s="32"/>
      <c r="AU37" s="32"/>
      <c r="AV37" s="32"/>
      <c r="AW37" s="32"/>
      <c r="AX37" s="32"/>
      <c r="AY37" s="32"/>
      <c r="AZ37" s="32"/>
      <c r="BA37" s="32"/>
      <c r="BB37" s="32"/>
      <c r="BC37" s="32"/>
      <c r="BD37" s="32"/>
      <c r="BE37" s="32"/>
      <c r="BF37" s="32"/>
      <c r="BG37" s="32"/>
      <c r="BH37" s="32"/>
      <c r="BI37" s="32"/>
      <c r="BJ37" s="32"/>
      <c r="BK37" s="32"/>
      <c r="BL37" s="32"/>
      <c r="BM37" s="32"/>
      <c r="BN37" s="32"/>
      <c r="BO37" s="32"/>
      <c r="BP37" s="32"/>
      <c r="BQ37" s="32"/>
      <c r="BR37" s="32"/>
      <c r="BS37" s="32"/>
      <c r="BT37" s="32"/>
      <c r="BU37" s="32"/>
      <c r="BV37" s="32"/>
      <c r="BW37" s="32"/>
      <c r="BX37" s="32"/>
      <c r="BY37" s="32"/>
      <c r="BZ37" s="32"/>
      <c r="CA37" s="32"/>
      <c r="CB37" s="32"/>
      <c r="CC37" s="32"/>
      <c r="CD37" s="32"/>
      <c r="CE37" s="32"/>
      <c r="CF37" s="32"/>
      <c r="CG37" s="32"/>
      <c r="CH37" s="32"/>
      <c r="CI37" s="32"/>
      <c r="CJ37" s="32"/>
      <c r="CK37" s="32"/>
      <c r="CL37" s="32"/>
      <c r="CM37" s="32"/>
      <c r="CN37" s="32"/>
      <c r="CO37" s="32"/>
      <c r="CP37" s="32"/>
      <c r="CQ37" s="32"/>
      <c r="CR37" s="32"/>
      <c r="CS37" s="32"/>
      <c r="CT37" s="32"/>
      <c r="CU37" s="32"/>
      <c r="CV37" s="32"/>
      <c r="CW37" s="32"/>
      <c r="CX37" s="32"/>
      <c r="CY37" s="32"/>
      <c r="CZ37" s="32"/>
      <c r="DA37" s="32"/>
      <c r="DB37" s="131"/>
      <c r="DC37" s="131"/>
      <c r="DD37" s="131"/>
      <c r="DE37" s="131"/>
      <c r="DF37" s="131"/>
      <c r="DG37" s="131"/>
      <c r="DH37" s="131"/>
      <c r="DI37" s="131"/>
      <c r="DJ37" s="131"/>
      <c r="DK37" s="131"/>
      <c r="DL37" s="131"/>
      <c r="DM37" s="131"/>
      <c r="DN37" s="131"/>
      <c r="DO37" s="132"/>
      <c r="DP37" s="114"/>
      <c r="DQ37" s="32"/>
      <c r="DR37" s="32"/>
      <c r="DS37" s="32"/>
      <c r="DT37" s="32"/>
      <c r="DU37" s="32"/>
      <c r="DV37" s="32"/>
      <c r="DW37" s="32"/>
      <c r="DX37" s="32"/>
      <c r="DY37" s="32"/>
      <c r="DZ37" s="32"/>
      <c r="EA37" s="32"/>
      <c r="EB37" s="32"/>
      <c r="EC37" s="32"/>
      <c r="ED37" s="32"/>
      <c r="EE37" s="32"/>
      <c r="EF37" s="32"/>
      <c r="EG37" s="32"/>
      <c r="EH37" s="32"/>
      <c r="EI37" s="32"/>
      <c r="EJ37" s="32"/>
      <c r="EK37" s="113">
        <f t="shared" si="70"/>
        <v>46219</v>
      </c>
      <c r="EL37" s="113">
        <f t="shared" si="71"/>
        <v>46221</v>
      </c>
    </row>
    <row r="38" spans="1:142" s="29" customFormat="1" ht="30" customHeight="1" thickBot="1" x14ac:dyDescent="0.2">
      <c r="A38" s="4"/>
      <c r="B38" s="102" t="s">
        <v>36</v>
      </c>
      <c r="C38" s="104">
        <v>0.6</v>
      </c>
      <c r="D38" s="100">
        <v>46221</v>
      </c>
      <c r="E38" s="103">
        <v>46223</v>
      </c>
      <c r="F38" s="6"/>
      <c r="G38" s="3">
        <f t="shared" si="65"/>
        <v>3</v>
      </c>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32"/>
      <c r="CH38" s="32"/>
      <c r="CI38" s="32"/>
      <c r="CJ38" s="32"/>
      <c r="CK38" s="32"/>
      <c r="CL38" s="32"/>
      <c r="CM38" s="32"/>
      <c r="CN38" s="32"/>
      <c r="CO38" s="32"/>
      <c r="CP38" s="32"/>
      <c r="CQ38" s="32"/>
      <c r="CR38" s="32"/>
      <c r="CS38" s="32"/>
      <c r="CT38" s="32"/>
      <c r="CU38" s="32"/>
      <c r="CV38" s="32"/>
      <c r="CW38" s="32"/>
      <c r="CX38" s="32"/>
      <c r="CY38" s="32"/>
      <c r="CZ38" s="32"/>
      <c r="DA38" s="32"/>
      <c r="DB38" s="131"/>
      <c r="DC38" s="131"/>
      <c r="DD38" s="131"/>
      <c r="DE38" s="131"/>
      <c r="DF38" s="131"/>
      <c r="DG38" s="131"/>
      <c r="DH38" s="131"/>
      <c r="DI38" s="131"/>
      <c r="DJ38" s="131"/>
      <c r="DK38" s="131"/>
      <c r="DL38" s="131"/>
      <c r="DM38" s="131"/>
      <c r="DN38" s="131"/>
      <c r="DO38" s="132"/>
      <c r="DP38" s="114"/>
      <c r="DQ38" s="32"/>
      <c r="DR38" s="32"/>
      <c r="DS38" s="32"/>
      <c r="DT38" s="32"/>
      <c r="DU38" s="32"/>
      <c r="DV38" s="32"/>
      <c r="DW38" s="32"/>
      <c r="DX38" s="32"/>
      <c r="DY38" s="32"/>
      <c r="DZ38" s="32"/>
      <c r="EA38" s="32"/>
      <c r="EB38" s="32"/>
      <c r="EC38" s="32"/>
      <c r="ED38" s="32"/>
      <c r="EE38" s="32"/>
      <c r="EF38" s="32"/>
      <c r="EG38" s="32"/>
      <c r="EH38" s="32"/>
      <c r="EI38" s="32"/>
      <c r="EJ38" s="32"/>
      <c r="EK38" s="113">
        <f t="shared" si="70"/>
        <v>46220</v>
      </c>
      <c r="EL38" s="113">
        <f t="shared" si="71"/>
        <v>46222</v>
      </c>
    </row>
    <row r="39" spans="1:142" s="29" customFormat="1" ht="30" customHeight="1" thickBot="1" x14ac:dyDescent="0.2">
      <c r="A39" s="4"/>
      <c r="B39" s="93" t="s">
        <v>37</v>
      </c>
      <c r="C39" s="90">
        <v>0</v>
      </c>
      <c r="D39" s="91">
        <v>46224</v>
      </c>
      <c r="E39" s="92">
        <v>46226</v>
      </c>
      <c r="F39" s="6"/>
      <c r="G39" s="3">
        <f t="shared" si="65"/>
        <v>3</v>
      </c>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32"/>
      <c r="AH39" s="32"/>
      <c r="AI39" s="32"/>
      <c r="AJ39" s="32"/>
      <c r="AK39" s="32"/>
      <c r="AL39" s="32"/>
      <c r="AM39" s="32"/>
      <c r="AN39" s="32"/>
      <c r="AO39" s="32"/>
      <c r="AP39" s="32"/>
      <c r="AQ39" s="32"/>
      <c r="AR39" s="32"/>
      <c r="AS39" s="32"/>
      <c r="AT39" s="32"/>
      <c r="AU39" s="32"/>
      <c r="AV39" s="32"/>
      <c r="AW39" s="32"/>
      <c r="AX39" s="32"/>
      <c r="AY39" s="32"/>
      <c r="AZ39" s="32"/>
      <c r="BA39" s="32"/>
      <c r="BB39" s="32"/>
      <c r="BC39" s="32"/>
      <c r="BD39" s="32"/>
      <c r="BE39" s="32"/>
      <c r="BF39" s="32"/>
      <c r="BG39" s="32"/>
      <c r="BH39" s="32"/>
      <c r="BI39" s="32"/>
      <c r="BJ39" s="32"/>
      <c r="BK39" s="32"/>
      <c r="BL39" s="32"/>
      <c r="BM39" s="32"/>
      <c r="BN39" s="32"/>
      <c r="BO39" s="32"/>
      <c r="BP39" s="32"/>
      <c r="BQ39" s="32"/>
      <c r="BR39" s="32"/>
      <c r="BS39" s="32"/>
      <c r="BT39" s="32"/>
      <c r="BU39" s="32"/>
      <c r="BV39" s="32"/>
      <c r="BW39" s="32"/>
      <c r="BX39" s="32"/>
      <c r="BY39" s="32"/>
      <c r="BZ39" s="32"/>
      <c r="CA39" s="32"/>
      <c r="CB39" s="32"/>
      <c r="CC39" s="32"/>
      <c r="CD39" s="32"/>
      <c r="CE39" s="32"/>
      <c r="CF39" s="32"/>
      <c r="CG39" s="32"/>
      <c r="CH39" s="32"/>
      <c r="CI39" s="32"/>
      <c r="CJ39" s="32"/>
      <c r="CK39" s="32"/>
      <c r="CL39" s="32"/>
      <c r="CM39" s="32"/>
      <c r="CN39" s="32"/>
      <c r="CO39" s="32"/>
      <c r="CP39" s="32"/>
      <c r="CQ39" s="32"/>
      <c r="CR39" s="32"/>
      <c r="CS39" s="32"/>
      <c r="CT39" s="32"/>
      <c r="CU39" s="32"/>
      <c r="CV39" s="32"/>
      <c r="CW39" s="32"/>
      <c r="CX39" s="32"/>
      <c r="CY39" s="32"/>
      <c r="CZ39" s="32"/>
      <c r="DA39" s="32"/>
      <c r="DB39" s="131"/>
      <c r="DC39" s="131"/>
      <c r="DD39" s="131"/>
      <c r="DE39" s="131"/>
      <c r="DF39" s="131"/>
      <c r="DG39" s="131"/>
      <c r="DH39" s="131"/>
      <c r="DI39" s="131"/>
      <c r="DJ39" s="131"/>
      <c r="DK39" s="131"/>
      <c r="DL39" s="131"/>
      <c r="DM39" s="131"/>
      <c r="DN39" s="131"/>
      <c r="DO39" s="132"/>
      <c r="DP39" s="114"/>
      <c r="DQ39" s="32"/>
      <c r="DR39" s="32"/>
      <c r="DS39" s="32"/>
      <c r="DT39" s="32"/>
      <c r="DU39" s="32"/>
      <c r="DV39" s="32"/>
      <c r="DW39" s="32"/>
      <c r="DX39" s="32"/>
      <c r="DY39" s="32"/>
      <c r="DZ39" s="32"/>
      <c r="EA39" s="32"/>
      <c r="EB39" s="32"/>
      <c r="EC39" s="32"/>
      <c r="ED39" s="32"/>
      <c r="EE39" s="32"/>
      <c r="EF39" s="32"/>
      <c r="EG39" s="32"/>
      <c r="EH39" s="32"/>
      <c r="EI39" s="32"/>
      <c r="EJ39" s="32"/>
      <c r="EK39" s="113">
        <f t="shared" si="70"/>
        <v>46223</v>
      </c>
      <c r="EL39" s="113">
        <f t="shared" si="71"/>
        <v>46225</v>
      </c>
    </row>
    <row r="40" spans="1:142" s="29" customFormat="1" ht="30" customHeight="1" thickBot="1" x14ac:dyDescent="0.2">
      <c r="A40" s="5"/>
      <c r="B40" s="24" t="s">
        <v>7</v>
      </c>
      <c r="C40" s="25"/>
      <c r="D40" s="26"/>
      <c r="E40" s="27"/>
      <c r="F40" s="6"/>
      <c r="G40" s="3" t="str">
        <f t="shared" si="65"/>
        <v/>
      </c>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131"/>
      <c r="DC40" s="131"/>
      <c r="DD40" s="131"/>
      <c r="DE40" s="131"/>
      <c r="DF40" s="131"/>
      <c r="DG40" s="131"/>
      <c r="DH40" s="131"/>
      <c r="DI40" s="131"/>
      <c r="DJ40" s="131"/>
      <c r="DK40" s="131"/>
      <c r="DL40" s="131"/>
      <c r="DM40" s="131"/>
      <c r="DN40" s="131"/>
      <c r="DO40" s="132"/>
      <c r="DP40" s="28"/>
      <c r="DQ40" s="28"/>
      <c r="DR40" s="28"/>
      <c r="DS40" s="28"/>
      <c r="DT40" s="28"/>
      <c r="DU40" s="28"/>
      <c r="DV40" s="28"/>
      <c r="DW40" s="28"/>
      <c r="DX40" s="28"/>
      <c r="DY40" s="28"/>
      <c r="DZ40" s="28"/>
      <c r="EA40" s="28"/>
      <c r="EB40" s="28"/>
      <c r="EC40" s="28"/>
      <c r="ED40" s="28"/>
      <c r="EE40" s="28"/>
      <c r="EF40" s="28"/>
      <c r="EG40" s="28"/>
      <c r="EH40" s="28"/>
      <c r="EI40" s="28"/>
      <c r="EJ40" s="28"/>
      <c r="EK40" s="113">
        <f t="shared" si="70"/>
        <v>-1</v>
      </c>
      <c r="EL40" s="113">
        <f t="shared" si="71"/>
        <v>-1</v>
      </c>
    </row>
    <row r="41" spans="1:142" s="29" customFormat="1" ht="30" customHeight="1" thickBot="1" x14ac:dyDescent="0.2">
      <c r="A41" s="5"/>
      <c r="B41" s="105" t="s">
        <v>38</v>
      </c>
      <c r="C41" s="31">
        <v>0</v>
      </c>
      <c r="D41" s="51">
        <v>46226</v>
      </c>
      <c r="E41" s="51">
        <v>46227</v>
      </c>
      <c r="F41" s="6"/>
      <c r="G41" s="3">
        <f t="shared" si="65"/>
        <v>2</v>
      </c>
      <c r="H41" s="32"/>
      <c r="I41" s="32"/>
      <c r="J41" s="32"/>
      <c r="K41" s="32"/>
      <c r="L41" s="32"/>
      <c r="M41" s="32"/>
      <c r="N41" s="32"/>
      <c r="O41" s="32"/>
      <c r="P41" s="32"/>
      <c r="Q41" s="32"/>
      <c r="R41" s="32"/>
      <c r="S41" s="32"/>
      <c r="T41" s="32"/>
      <c r="U41" s="32"/>
      <c r="V41" s="32"/>
      <c r="W41" s="32"/>
      <c r="X41" s="32"/>
      <c r="Y41" s="32"/>
      <c r="Z41" s="32"/>
      <c r="AA41" s="32"/>
      <c r="AB41" s="32"/>
      <c r="AC41" s="32"/>
      <c r="AD41" s="32"/>
      <c r="AE41" s="32"/>
      <c r="AF41" s="32"/>
      <c r="AG41" s="32"/>
      <c r="AH41" s="32"/>
      <c r="AI41" s="32"/>
      <c r="AJ41" s="32"/>
      <c r="AK41" s="32"/>
      <c r="AL41" s="32"/>
      <c r="AM41" s="32"/>
      <c r="AN41" s="32"/>
      <c r="AO41" s="32"/>
      <c r="AP41" s="32"/>
      <c r="AQ41" s="32"/>
      <c r="AR41" s="32"/>
      <c r="AS41" s="32"/>
      <c r="AT41" s="32"/>
      <c r="AU41" s="32"/>
      <c r="AV41" s="32"/>
      <c r="AW41" s="32"/>
      <c r="AX41" s="32"/>
      <c r="AY41" s="32"/>
      <c r="AZ41" s="32"/>
      <c r="BA41" s="32"/>
      <c r="BB41" s="32"/>
      <c r="BC41" s="32"/>
      <c r="BD41" s="32"/>
      <c r="BE41" s="32"/>
      <c r="BF41" s="32"/>
      <c r="BG41" s="32"/>
      <c r="BH41" s="32"/>
      <c r="BI41" s="32"/>
      <c r="BJ41" s="32"/>
      <c r="BK41" s="32"/>
      <c r="BL41" s="32"/>
      <c r="BM41" s="32"/>
      <c r="BN41" s="32"/>
      <c r="BO41" s="32"/>
      <c r="BP41" s="32"/>
      <c r="BQ41" s="32"/>
      <c r="BR41" s="32"/>
      <c r="BS41" s="32"/>
      <c r="BT41" s="32"/>
      <c r="BU41" s="32"/>
      <c r="BV41" s="32"/>
      <c r="BW41" s="32"/>
      <c r="BX41" s="32"/>
      <c r="BY41" s="32"/>
      <c r="BZ41" s="32"/>
      <c r="CA41" s="32"/>
      <c r="CB41" s="32"/>
      <c r="CC41" s="32"/>
      <c r="CD41" s="32"/>
      <c r="CE41" s="32"/>
      <c r="CF41" s="32"/>
      <c r="CG41" s="32"/>
      <c r="CH41" s="32"/>
      <c r="CI41" s="32"/>
      <c r="CJ41" s="32"/>
      <c r="CK41" s="32"/>
      <c r="CL41" s="32"/>
      <c r="CM41" s="32"/>
      <c r="CN41" s="32"/>
      <c r="CO41" s="32"/>
      <c r="CP41" s="32"/>
      <c r="CQ41" s="32"/>
      <c r="CR41" s="32"/>
      <c r="CS41" s="32"/>
      <c r="CT41" s="32"/>
      <c r="CU41" s="32"/>
      <c r="CV41" s="32"/>
      <c r="CW41" s="32"/>
      <c r="CX41" s="32"/>
      <c r="CY41" s="32"/>
      <c r="CZ41" s="32"/>
      <c r="DA41" s="32"/>
      <c r="DB41" s="131"/>
      <c r="DC41" s="131"/>
      <c r="DD41" s="131"/>
      <c r="DE41" s="131"/>
      <c r="DF41" s="131"/>
      <c r="DG41" s="131"/>
      <c r="DH41" s="131"/>
      <c r="DI41" s="131"/>
      <c r="DJ41" s="131"/>
      <c r="DK41" s="131"/>
      <c r="DL41" s="131"/>
      <c r="DM41" s="131"/>
      <c r="DN41" s="131"/>
      <c r="DO41" s="132"/>
      <c r="DP41" s="114"/>
      <c r="DQ41" s="32"/>
      <c r="DR41" s="32"/>
      <c r="DS41" s="32"/>
      <c r="DT41" s="32"/>
      <c r="DU41" s="32"/>
      <c r="DV41" s="32"/>
      <c r="DW41" s="32"/>
      <c r="DX41" s="32"/>
      <c r="DY41" s="32"/>
      <c r="DZ41" s="32"/>
      <c r="EA41" s="32"/>
      <c r="EB41" s="32"/>
      <c r="EC41" s="32"/>
      <c r="ED41" s="32"/>
      <c r="EE41" s="32"/>
      <c r="EF41" s="32"/>
      <c r="EG41" s="32"/>
      <c r="EH41" s="32"/>
      <c r="EI41" s="32"/>
      <c r="EJ41" s="32"/>
      <c r="EK41" s="113">
        <f>D41+2</f>
        <v>46228</v>
      </c>
      <c r="EL41" s="113">
        <f>E41+2</f>
        <v>46229</v>
      </c>
    </row>
    <row r="42" spans="1:142" s="29" customFormat="1" ht="30" customHeight="1" thickBot="1" x14ac:dyDescent="0.2">
      <c r="A42" s="5"/>
      <c r="B42" s="62" t="s">
        <v>39</v>
      </c>
      <c r="C42" s="34">
        <v>0</v>
      </c>
      <c r="D42" s="52">
        <v>46227</v>
      </c>
      <c r="E42" s="52">
        <v>46229</v>
      </c>
      <c r="F42" s="6"/>
      <c r="G42" s="3">
        <f t="shared" si="65"/>
        <v>3</v>
      </c>
      <c r="H42" s="32"/>
      <c r="I42" s="32"/>
      <c r="J42" s="32"/>
      <c r="K42" s="32"/>
      <c r="L42" s="32"/>
      <c r="M42" s="32"/>
      <c r="N42" s="32"/>
      <c r="O42" s="32"/>
      <c r="P42" s="32"/>
      <c r="Q42" s="32"/>
      <c r="R42" s="32"/>
      <c r="S42" s="32"/>
      <c r="T42" s="35"/>
      <c r="U42" s="35"/>
      <c r="V42" s="32"/>
      <c r="W42" s="32"/>
      <c r="X42" s="32"/>
      <c r="Y42" s="32"/>
      <c r="Z42" s="32"/>
      <c r="AA42" s="32"/>
      <c r="AB42" s="32"/>
      <c r="AC42" s="32"/>
      <c r="AD42" s="32"/>
      <c r="AE42" s="32"/>
      <c r="AF42" s="32"/>
      <c r="AG42" s="32"/>
      <c r="AH42" s="32"/>
      <c r="AI42" s="32"/>
      <c r="AJ42" s="32"/>
      <c r="AK42" s="32"/>
      <c r="AL42" s="32"/>
      <c r="AM42" s="32"/>
      <c r="AN42" s="32"/>
      <c r="AO42" s="32"/>
      <c r="AP42" s="32"/>
      <c r="AQ42" s="32"/>
      <c r="AR42" s="32"/>
      <c r="AS42" s="32"/>
      <c r="AT42" s="32"/>
      <c r="AU42" s="32"/>
      <c r="AV42" s="32"/>
      <c r="AW42" s="32"/>
      <c r="AX42" s="32"/>
      <c r="AY42" s="32"/>
      <c r="AZ42" s="32"/>
      <c r="BA42" s="32"/>
      <c r="BB42" s="32"/>
      <c r="BC42" s="32"/>
      <c r="BD42" s="32"/>
      <c r="BE42" s="32"/>
      <c r="BF42" s="32"/>
      <c r="BG42" s="32"/>
      <c r="BH42" s="32"/>
      <c r="BI42" s="32"/>
      <c r="BJ42" s="32"/>
      <c r="BK42" s="32"/>
      <c r="BL42" s="32"/>
      <c r="BM42" s="32"/>
      <c r="BN42" s="32"/>
      <c r="BO42" s="32"/>
      <c r="BP42" s="32"/>
      <c r="BQ42" s="32"/>
      <c r="BR42" s="32"/>
      <c r="BS42" s="32"/>
      <c r="BT42" s="32"/>
      <c r="BU42" s="32"/>
      <c r="BV42" s="32"/>
      <c r="BW42" s="32"/>
      <c r="BX42" s="32"/>
      <c r="BY42" s="32"/>
      <c r="BZ42" s="32"/>
      <c r="CA42" s="32"/>
      <c r="CB42" s="32"/>
      <c r="CC42" s="32"/>
      <c r="CD42" s="32"/>
      <c r="CE42" s="32"/>
      <c r="CF42" s="32"/>
      <c r="CG42" s="32"/>
      <c r="CH42" s="32"/>
      <c r="CI42" s="32"/>
      <c r="CJ42" s="32"/>
      <c r="CK42" s="32"/>
      <c r="CL42" s="32"/>
      <c r="CM42" s="32"/>
      <c r="CN42" s="32"/>
      <c r="CO42" s="32"/>
      <c r="CP42" s="32"/>
      <c r="CQ42" s="32"/>
      <c r="CR42" s="32"/>
      <c r="CS42" s="32"/>
      <c r="CT42" s="32"/>
      <c r="CU42" s="32"/>
      <c r="CV42" s="32"/>
      <c r="CW42" s="32"/>
      <c r="CX42" s="32"/>
      <c r="CY42" s="32"/>
      <c r="CZ42" s="32"/>
      <c r="DA42" s="32"/>
      <c r="DB42" s="131"/>
      <c r="DC42" s="131"/>
      <c r="DD42" s="131"/>
      <c r="DE42" s="131"/>
      <c r="DF42" s="131"/>
      <c r="DG42" s="131"/>
      <c r="DH42" s="131"/>
      <c r="DI42" s="131"/>
      <c r="DJ42" s="131"/>
      <c r="DK42" s="131"/>
      <c r="DL42" s="131"/>
      <c r="DM42" s="131"/>
      <c r="DN42" s="131"/>
      <c r="DO42" s="132"/>
      <c r="DP42" s="114"/>
      <c r="DQ42" s="32"/>
      <c r="DR42" s="32"/>
      <c r="DS42" s="32"/>
      <c r="DT42" s="32"/>
      <c r="DU42" s="32"/>
      <c r="DV42" s="32"/>
      <c r="DW42" s="32"/>
      <c r="DX42" s="32"/>
      <c r="DY42" s="32"/>
      <c r="DZ42" s="32"/>
      <c r="EA42" s="32"/>
      <c r="EB42" s="32"/>
      <c r="EC42" s="32"/>
      <c r="ED42" s="32"/>
      <c r="EE42" s="32"/>
      <c r="EF42" s="32"/>
      <c r="EG42" s="32"/>
      <c r="EH42" s="32"/>
      <c r="EI42" s="32"/>
      <c r="EJ42" s="32"/>
      <c r="EK42" s="113">
        <f t="shared" ref="EK42:EK52" si="72">D42+2</f>
        <v>46229</v>
      </c>
      <c r="EL42" s="113">
        <f t="shared" ref="EL42:EL52" si="73">E42+2</f>
        <v>46231</v>
      </c>
    </row>
    <row r="43" spans="1:142" s="29" customFormat="1" ht="30" customHeight="1" thickBot="1" x14ac:dyDescent="0.2">
      <c r="A43" s="4"/>
      <c r="B43" s="33" t="s">
        <v>40</v>
      </c>
      <c r="C43" s="34">
        <v>0</v>
      </c>
      <c r="D43" s="52">
        <v>46230</v>
      </c>
      <c r="E43" s="52">
        <v>46230</v>
      </c>
      <c r="F43" s="6"/>
      <c r="G43" s="3">
        <f t="shared" si="65"/>
        <v>1</v>
      </c>
      <c r="H43" s="32"/>
      <c r="I43" s="32"/>
      <c r="J43" s="32"/>
      <c r="K43" s="32"/>
      <c r="L43" s="32"/>
      <c r="M43" s="32"/>
      <c r="N43" s="32"/>
      <c r="O43" s="32"/>
      <c r="P43" s="32"/>
      <c r="Q43" s="32"/>
      <c r="R43" s="32"/>
      <c r="S43" s="32"/>
      <c r="T43" s="32"/>
      <c r="U43" s="32"/>
      <c r="V43" s="32"/>
      <c r="W43" s="32"/>
      <c r="X43" s="32"/>
      <c r="Y43" s="32"/>
      <c r="Z43" s="32"/>
      <c r="AA43" s="32"/>
      <c r="AB43" s="32"/>
      <c r="AC43" s="32"/>
      <c r="AD43" s="32"/>
      <c r="AE43" s="32"/>
      <c r="AF43" s="32"/>
      <c r="AG43" s="32"/>
      <c r="AH43" s="32"/>
      <c r="AI43" s="32"/>
      <c r="AJ43" s="32"/>
      <c r="AK43" s="32"/>
      <c r="AL43" s="32"/>
      <c r="AM43" s="32"/>
      <c r="AN43" s="32"/>
      <c r="AO43" s="32"/>
      <c r="AP43" s="32"/>
      <c r="AQ43" s="32"/>
      <c r="AR43" s="32"/>
      <c r="AS43" s="32"/>
      <c r="AT43" s="32"/>
      <c r="AU43" s="32"/>
      <c r="AV43" s="32"/>
      <c r="AW43" s="32"/>
      <c r="AX43" s="32"/>
      <c r="AY43" s="32"/>
      <c r="AZ43" s="32"/>
      <c r="BA43" s="32"/>
      <c r="BB43" s="32"/>
      <c r="BC43" s="32"/>
      <c r="BD43" s="32"/>
      <c r="BE43" s="32"/>
      <c r="BF43" s="32"/>
      <c r="BG43" s="32"/>
      <c r="BH43" s="32"/>
      <c r="BI43" s="32"/>
      <c r="BJ43" s="32"/>
      <c r="BK43" s="32"/>
      <c r="BL43" s="32"/>
      <c r="BM43" s="32"/>
      <c r="BN43" s="32"/>
      <c r="BO43" s="32"/>
      <c r="BP43" s="32"/>
      <c r="BQ43" s="32"/>
      <c r="BR43" s="32"/>
      <c r="BS43" s="32"/>
      <c r="BT43" s="32"/>
      <c r="BU43" s="32"/>
      <c r="BV43" s="32"/>
      <c r="BW43" s="32"/>
      <c r="BX43" s="32"/>
      <c r="BY43" s="32"/>
      <c r="BZ43" s="32"/>
      <c r="CA43" s="32"/>
      <c r="CB43" s="32"/>
      <c r="CC43" s="32"/>
      <c r="CD43" s="32"/>
      <c r="CE43" s="32"/>
      <c r="CF43" s="32"/>
      <c r="CG43" s="32"/>
      <c r="CH43" s="32"/>
      <c r="CI43" s="32"/>
      <c r="CJ43" s="32"/>
      <c r="CK43" s="32"/>
      <c r="CL43" s="32"/>
      <c r="CM43" s="32"/>
      <c r="CN43" s="32"/>
      <c r="CO43" s="32"/>
      <c r="CP43" s="32"/>
      <c r="CQ43" s="32"/>
      <c r="CR43" s="32"/>
      <c r="CS43" s="32"/>
      <c r="CT43" s="32"/>
      <c r="CU43" s="32"/>
      <c r="CV43" s="32"/>
      <c r="CW43" s="32"/>
      <c r="CX43" s="32"/>
      <c r="CY43" s="32"/>
      <c r="CZ43" s="32"/>
      <c r="DA43" s="32"/>
      <c r="DB43" s="131"/>
      <c r="DC43" s="131"/>
      <c r="DD43" s="131"/>
      <c r="DE43" s="131"/>
      <c r="DF43" s="131"/>
      <c r="DG43" s="131"/>
      <c r="DH43" s="131"/>
      <c r="DI43" s="131"/>
      <c r="DJ43" s="131"/>
      <c r="DK43" s="131"/>
      <c r="DL43" s="131"/>
      <c r="DM43" s="131"/>
      <c r="DN43" s="131"/>
      <c r="DO43" s="132"/>
      <c r="DP43" s="114"/>
      <c r="DQ43" s="32"/>
      <c r="DR43" s="32"/>
      <c r="DS43" s="32"/>
      <c r="DT43" s="32"/>
      <c r="DU43" s="32"/>
      <c r="DV43" s="32"/>
      <c r="DW43" s="32"/>
      <c r="DX43" s="32"/>
      <c r="DY43" s="32"/>
      <c r="DZ43" s="32"/>
      <c r="EA43" s="32"/>
      <c r="EB43" s="32"/>
      <c r="EC43" s="32"/>
      <c r="ED43" s="32"/>
      <c r="EE43" s="32"/>
      <c r="EF43" s="32"/>
      <c r="EG43" s="32"/>
      <c r="EH43" s="32"/>
      <c r="EI43" s="32"/>
      <c r="EJ43" s="32"/>
      <c r="EK43" s="113">
        <f t="shared" si="72"/>
        <v>46232</v>
      </c>
      <c r="EL43" s="113">
        <f t="shared" si="73"/>
        <v>46232</v>
      </c>
    </row>
    <row r="44" spans="1:142" s="29" customFormat="1" ht="33" customHeight="1" thickBot="1" x14ac:dyDescent="0.2">
      <c r="A44" s="4"/>
      <c r="B44" s="62" t="s">
        <v>41</v>
      </c>
      <c r="C44" s="34">
        <v>0</v>
      </c>
      <c r="D44" s="52">
        <v>46230</v>
      </c>
      <c r="E44" s="52">
        <v>46230</v>
      </c>
      <c r="F44" s="6"/>
      <c r="G44" s="3"/>
      <c r="H44" s="32"/>
      <c r="I44" s="32"/>
      <c r="J44" s="32"/>
      <c r="K44" s="32"/>
      <c r="L44" s="32"/>
      <c r="M44" s="32"/>
      <c r="N44" s="32"/>
      <c r="O44" s="32"/>
      <c r="P44" s="32"/>
      <c r="Q44" s="32"/>
      <c r="R44" s="32"/>
      <c r="S44" s="32"/>
      <c r="T44" s="32"/>
      <c r="U44" s="32"/>
      <c r="V44" s="32"/>
      <c r="W44" s="32"/>
      <c r="X44" s="32"/>
      <c r="Y44" s="32"/>
      <c r="Z44" s="32"/>
      <c r="AA44" s="32"/>
      <c r="AB44" s="32"/>
      <c r="AC44" s="32"/>
      <c r="AD44" s="32"/>
      <c r="AE44" s="32"/>
      <c r="AF44" s="32"/>
      <c r="AG44" s="32"/>
      <c r="AH44" s="32"/>
      <c r="AI44" s="32"/>
      <c r="AJ44" s="32"/>
      <c r="AK44" s="32"/>
      <c r="AL44" s="32"/>
      <c r="AM44" s="32"/>
      <c r="AN44" s="32"/>
      <c r="AO44" s="32"/>
      <c r="AP44" s="32"/>
      <c r="AQ44" s="32"/>
      <c r="AR44" s="32"/>
      <c r="AS44" s="32"/>
      <c r="AT44" s="32"/>
      <c r="AU44" s="32"/>
      <c r="AV44" s="32"/>
      <c r="AW44" s="32"/>
      <c r="AX44" s="32"/>
      <c r="AY44" s="32"/>
      <c r="AZ44" s="32"/>
      <c r="BA44" s="32"/>
      <c r="BB44" s="32"/>
      <c r="BC44" s="32"/>
      <c r="BD44" s="32"/>
      <c r="BE44" s="32"/>
      <c r="BF44" s="32"/>
      <c r="BG44" s="32"/>
      <c r="BH44" s="32"/>
      <c r="BI44" s="32"/>
      <c r="BJ44" s="32"/>
      <c r="BK44" s="32"/>
      <c r="BL44" s="32"/>
      <c r="BM44" s="32"/>
      <c r="BN44" s="32"/>
      <c r="BO44" s="32"/>
      <c r="BP44" s="32"/>
      <c r="BQ44" s="32"/>
      <c r="BR44" s="32"/>
      <c r="BS44" s="32"/>
      <c r="BT44" s="32"/>
      <c r="BU44" s="32"/>
      <c r="BV44" s="32"/>
      <c r="BW44" s="32"/>
      <c r="BX44" s="32"/>
      <c r="BY44" s="32"/>
      <c r="BZ44" s="32"/>
      <c r="CA44" s="32"/>
      <c r="CB44" s="32"/>
      <c r="CC44" s="32"/>
      <c r="CD44" s="32"/>
      <c r="CE44" s="32"/>
      <c r="CF44" s="32"/>
      <c r="CG44" s="32"/>
      <c r="CH44" s="32"/>
      <c r="CI44" s="32"/>
      <c r="CJ44" s="32"/>
      <c r="CK44" s="32"/>
      <c r="CL44" s="32"/>
      <c r="CM44" s="32"/>
      <c r="CN44" s="32"/>
      <c r="CO44" s="32"/>
      <c r="CP44" s="32"/>
      <c r="CQ44" s="32"/>
      <c r="CR44" s="32"/>
      <c r="CS44" s="32"/>
      <c r="CT44" s="32"/>
      <c r="CU44" s="32"/>
      <c r="CV44" s="32"/>
      <c r="CW44" s="32"/>
      <c r="CX44" s="32"/>
      <c r="CY44" s="32"/>
      <c r="CZ44" s="32"/>
      <c r="DA44" s="32"/>
      <c r="DB44" s="131"/>
      <c r="DC44" s="131"/>
      <c r="DD44" s="131"/>
      <c r="DE44" s="131"/>
      <c r="DF44" s="131"/>
      <c r="DG44" s="131"/>
      <c r="DH44" s="131"/>
      <c r="DI44" s="131"/>
      <c r="DJ44" s="131"/>
      <c r="DK44" s="131"/>
      <c r="DL44" s="131"/>
      <c r="DM44" s="131"/>
      <c r="DN44" s="131"/>
      <c r="DO44" s="132"/>
      <c r="DP44" s="114"/>
      <c r="DQ44" s="32"/>
      <c r="DR44" s="32"/>
      <c r="DS44" s="32"/>
      <c r="DT44" s="32"/>
      <c r="DU44" s="32"/>
      <c r="DV44" s="32"/>
      <c r="DW44" s="32"/>
      <c r="DX44" s="32"/>
      <c r="DY44" s="32"/>
      <c r="DZ44" s="32"/>
      <c r="EA44" s="32"/>
      <c r="EB44" s="32"/>
      <c r="EC44" s="32"/>
      <c r="ED44" s="32"/>
      <c r="EE44" s="32"/>
      <c r="EF44" s="32"/>
      <c r="EG44" s="32"/>
      <c r="EH44" s="32"/>
      <c r="EI44" s="32"/>
      <c r="EJ44" s="32"/>
      <c r="EK44" s="113">
        <f t="shared" si="72"/>
        <v>46232</v>
      </c>
      <c r="EL44" s="113">
        <f t="shared" si="73"/>
        <v>46232</v>
      </c>
    </row>
    <row r="45" spans="1:142" s="29" customFormat="1" ht="30" customHeight="1" thickBot="1" x14ac:dyDescent="0.2">
      <c r="A45" s="5"/>
      <c r="B45" s="36" t="s">
        <v>42</v>
      </c>
      <c r="C45" s="37"/>
      <c r="D45" s="53"/>
      <c r="E45" s="54"/>
      <c r="F45" s="6"/>
      <c r="G45" s="3" t="str">
        <f t="shared" si="65"/>
        <v/>
      </c>
      <c r="DB45" s="131"/>
      <c r="DC45" s="131"/>
      <c r="DD45" s="131"/>
      <c r="DE45" s="131"/>
      <c r="DF45" s="131"/>
      <c r="DG45" s="131"/>
      <c r="DH45" s="131"/>
      <c r="DI45" s="131"/>
      <c r="DJ45" s="131"/>
      <c r="DK45" s="131"/>
      <c r="DL45" s="131"/>
      <c r="DM45" s="131"/>
      <c r="DN45" s="131"/>
      <c r="DO45" s="132"/>
      <c r="EK45" s="113">
        <f t="shared" si="72"/>
        <v>2</v>
      </c>
      <c r="EL45" s="113">
        <f t="shared" si="73"/>
        <v>2</v>
      </c>
    </row>
    <row r="46" spans="1:142" s="29" customFormat="1" ht="30" customHeight="1" thickBot="1" x14ac:dyDescent="0.2">
      <c r="A46" s="5"/>
      <c r="B46" s="63" t="s">
        <v>45</v>
      </c>
      <c r="C46" s="39">
        <v>0</v>
      </c>
      <c r="D46" s="55">
        <v>46169</v>
      </c>
      <c r="E46" s="55">
        <v>46234</v>
      </c>
      <c r="F46" s="6"/>
      <c r="G46" s="3">
        <f t="shared" si="65"/>
        <v>66</v>
      </c>
      <c r="H46" s="32"/>
      <c r="I46" s="32"/>
      <c r="J46" s="32"/>
      <c r="K46" s="32"/>
      <c r="L46" s="32"/>
      <c r="M46" s="32"/>
      <c r="N46" s="32"/>
      <c r="O46" s="32"/>
      <c r="P46" s="32"/>
      <c r="Q46" s="32"/>
      <c r="R46" s="32"/>
      <c r="S46" s="32"/>
      <c r="T46" s="32"/>
      <c r="U46" s="32"/>
      <c r="V46" s="32"/>
      <c r="W46" s="32"/>
      <c r="X46" s="32"/>
      <c r="Y46" s="32"/>
      <c r="Z46" s="32"/>
      <c r="AA46" s="32"/>
      <c r="AB46" s="32"/>
      <c r="AC46" s="32"/>
      <c r="AD46" s="32"/>
      <c r="AE46" s="32"/>
      <c r="AF46" s="32"/>
      <c r="AG46" s="32"/>
      <c r="AH46" s="32"/>
      <c r="AI46" s="32"/>
      <c r="AJ46" s="32"/>
      <c r="AK46" s="32"/>
      <c r="AL46" s="32"/>
      <c r="AM46" s="32"/>
      <c r="AN46" s="32"/>
      <c r="AO46" s="32"/>
      <c r="AP46" s="32"/>
      <c r="AQ46" s="32"/>
      <c r="AR46" s="32"/>
      <c r="AS46" s="32"/>
      <c r="AT46" s="32"/>
      <c r="AU46" s="32"/>
      <c r="AV46" s="32"/>
      <c r="AW46" s="32"/>
      <c r="AX46" s="32"/>
      <c r="AY46" s="32"/>
      <c r="AZ46" s="32"/>
      <c r="BA46" s="32"/>
      <c r="BB46" s="32"/>
      <c r="BC46" s="32"/>
      <c r="BD46" s="32"/>
      <c r="BE46" s="32"/>
      <c r="BF46" s="32"/>
      <c r="BG46" s="32"/>
      <c r="BH46" s="32"/>
      <c r="BI46" s="32"/>
      <c r="BJ46" s="32"/>
      <c r="BK46" s="32"/>
      <c r="BL46" s="32"/>
      <c r="BM46" s="32"/>
      <c r="BN46" s="32"/>
      <c r="BO46" s="32"/>
      <c r="BP46" s="32"/>
      <c r="BQ46" s="32"/>
      <c r="BR46" s="32"/>
      <c r="BS46" s="32"/>
      <c r="BT46" s="32"/>
      <c r="BU46" s="32"/>
      <c r="BV46" s="32"/>
      <c r="BW46" s="32"/>
      <c r="BX46" s="32"/>
      <c r="BY46" s="32"/>
      <c r="BZ46" s="32"/>
      <c r="CA46" s="32"/>
      <c r="CB46" s="32"/>
      <c r="CC46" s="32"/>
      <c r="CD46" s="32"/>
      <c r="CE46" s="32"/>
      <c r="CF46" s="32"/>
      <c r="CG46" s="32"/>
      <c r="CH46" s="32"/>
      <c r="CI46" s="32"/>
      <c r="CJ46" s="32"/>
      <c r="CK46" s="32"/>
      <c r="CL46" s="32"/>
      <c r="CM46" s="32"/>
      <c r="CN46" s="32"/>
      <c r="CO46" s="32"/>
      <c r="CP46" s="32"/>
      <c r="CQ46" s="32"/>
      <c r="CR46" s="32"/>
      <c r="CS46" s="32"/>
      <c r="CT46" s="32"/>
      <c r="CU46" s="32"/>
      <c r="CV46" s="32"/>
      <c r="CW46" s="32"/>
      <c r="CX46" s="32"/>
      <c r="CY46" s="32"/>
      <c r="CZ46" s="32"/>
      <c r="DA46" s="32"/>
      <c r="DB46" s="131"/>
      <c r="DC46" s="131"/>
      <c r="DD46" s="131"/>
      <c r="DE46" s="131"/>
      <c r="DF46" s="131"/>
      <c r="DG46" s="131"/>
      <c r="DH46" s="131"/>
      <c r="DI46" s="131"/>
      <c r="DJ46" s="131"/>
      <c r="DK46" s="131"/>
      <c r="DL46" s="131"/>
      <c r="DM46" s="131"/>
      <c r="DN46" s="131"/>
      <c r="DO46" s="132"/>
      <c r="DP46" s="114"/>
      <c r="DQ46" s="32"/>
      <c r="DR46" s="32"/>
      <c r="DS46" s="32"/>
      <c r="DT46" s="32"/>
      <c r="DU46" s="32"/>
      <c r="DV46" s="32"/>
      <c r="DW46" s="32"/>
      <c r="DX46" s="32"/>
      <c r="DY46" s="32"/>
      <c r="DZ46" s="32"/>
      <c r="EA46" s="32"/>
      <c r="EB46" s="32"/>
      <c r="EC46" s="32"/>
      <c r="ED46" s="32"/>
      <c r="EE46" s="32"/>
      <c r="EF46" s="32"/>
      <c r="EG46" s="32"/>
      <c r="EH46" s="32"/>
      <c r="EI46" s="32"/>
      <c r="EJ46" s="32"/>
      <c r="EK46" s="113">
        <f t="shared" si="72"/>
        <v>46171</v>
      </c>
      <c r="EL46" s="113">
        <f t="shared" si="73"/>
        <v>46236</v>
      </c>
    </row>
    <row r="47" spans="1:142" s="29" customFormat="1" ht="30" customHeight="1" thickBot="1" x14ac:dyDescent="0.2">
      <c r="A47" s="4"/>
      <c r="B47" s="38" t="s">
        <v>46</v>
      </c>
      <c r="C47" s="39">
        <v>0</v>
      </c>
      <c r="D47" s="55">
        <v>46188</v>
      </c>
      <c r="E47" s="55">
        <v>46234</v>
      </c>
      <c r="F47" s="6"/>
      <c r="G47" s="3">
        <f t="shared" si="65"/>
        <v>47</v>
      </c>
      <c r="H47" s="32"/>
      <c r="I47" s="32"/>
      <c r="J47" s="32"/>
      <c r="K47" s="32"/>
      <c r="L47" s="32"/>
      <c r="M47" s="32"/>
      <c r="N47" s="32"/>
      <c r="O47" s="32"/>
      <c r="P47" s="32"/>
      <c r="Q47" s="32"/>
      <c r="R47" s="32"/>
      <c r="S47" s="32"/>
      <c r="T47" s="35"/>
      <c r="U47" s="35"/>
      <c r="V47" s="32"/>
      <c r="W47" s="32"/>
      <c r="X47" s="32"/>
      <c r="Y47" s="32"/>
      <c r="Z47" s="32"/>
      <c r="AA47" s="32"/>
      <c r="AB47" s="32"/>
      <c r="AC47" s="32"/>
      <c r="AD47" s="32"/>
      <c r="AE47" s="32"/>
      <c r="AF47" s="32"/>
      <c r="AG47" s="32"/>
      <c r="AH47" s="32"/>
      <c r="AI47" s="32"/>
      <c r="AJ47" s="32"/>
      <c r="AK47" s="32"/>
      <c r="AL47" s="32"/>
      <c r="AM47" s="32"/>
      <c r="AN47" s="32"/>
      <c r="AO47" s="32"/>
      <c r="AP47" s="32"/>
      <c r="AQ47" s="32"/>
      <c r="AR47" s="32"/>
      <c r="AS47" s="32"/>
      <c r="AT47" s="32"/>
      <c r="AU47" s="32"/>
      <c r="AV47" s="32"/>
      <c r="AW47" s="32"/>
      <c r="AX47" s="32"/>
      <c r="AY47" s="32"/>
      <c r="AZ47" s="32"/>
      <c r="BA47" s="32"/>
      <c r="BB47" s="32"/>
      <c r="BC47" s="32"/>
      <c r="BD47" s="32"/>
      <c r="BE47" s="32"/>
      <c r="BF47" s="32"/>
      <c r="BG47" s="32"/>
      <c r="BH47" s="32"/>
      <c r="BI47" s="32"/>
      <c r="BJ47" s="32"/>
      <c r="BK47" s="32"/>
      <c r="BL47" s="32"/>
      <c r="BM47" s="32"/>
      <c r="BN47" s="32"/>
      <c r="BO47" s="32"/>
      <c r="BP47" s="32"/>
      <c r="BQ47" s="32"/>
      <c r="BR47" s="32"/>
      <c r="BS47" s="32"/>
      <c r="BT47" s="32"/>
      <c r="BU47" s="32"/>
      <c r="BV47" s="32"/>
      <c r="BW47" s="32"/>
      <c r="BX47" s="32"/>
      <c r="BY47" s="32"/>
      <c r="BZ47" s="32"/>
      <c r="CA47" s="32"/>
      <c r="CB47" s="32"/>
      <c r="CC47" s="32"/>
      <c r="CD47" s="32"/>
      <c r="CE47" s="32"/>
      <c r="CF47" s="32"/>
      <c r="CG47" s="32"/>
      <c r="CH47" s="32"/>
      <c r="CI47" s="32"/>
      <c r="CJ47" s="32"/>
      <c r="CK47" s="32"/>
      <c r="CL47" s="32"/>
      <c r="CM47" s="32"/>
      <c r="CN47" s="32"/>
      <c r="CO47" s="32"/>
      <c r="CP47" s="32"/>
      <c r="CQ47" s="32"/>
      <c r="CR47" s="32"/>
      <c r="CS47" s="32"/>
      <c r="CT47" s="32"/>
      <c r="CU47" s="32"/>
      <c r="CV47" s="32"/>
      <c r="CW47" s="32"/>
      <c r="CX47" s="32"/>
      <c r="CY47" s="32"/>
      <c r="CZ47" s="32"/>
      <c r="DA47" s="32"/>
      <c r="DB47" s="131"/>
      <c r="DC47" s="131"/>
      <c r="DD47" s="131"/>
      <c r="DE47" s="131"/>
      <c r="DF47" s="131"/>
      <c r="DG47" s="131"/>
      <c r="DH47" s="131"/>
      <c r="DI47" s="131"/>
      <c r="DJ47" s="131"/>
      <c r="DK47" s="131"/>
      <c r="DL47" s="131"/>
      <c r="DM47" s="131"/>
      <c r="DN47" s="131"/>
      <c r="DO47" s="132"/>
      <c r="DP47" s="114"/>
      <c r="DQ47" s="32"/>
      <c r="DR47" s="32"/>
      <c r="DS47" s="32"/>
      <c r="DT47" s="32"/>
      <c r="DU47" s="32"/>
      <c r="DV47" s="32"/>
      <c r="DW47" s="32"/>
      <c r="DX47" s="32"/>
      <c r="DY47" s="32"/>
      <c r="DZ47" s="32"/>
      <c r="EA47" s="32"/>
      <c r="EB47" s="32"/>
      <c r="EC47" s="32"/>
      <c r="ED47" s="32"/>
      <c r="EE47" s="32"/>
      <c r="EF47" s="32"/>
      <c r="EG47" s="32"/>
      <c r="EH47" s="32"/>
      <c r="EI47" s="32"/>
      <c r="EJ47" s="32"/>
      <c r="EK47" s="113">
        <f t="shared" si="72"/>
        <v>46190</v>
      </c>
      <c r="EL47" s="113">
        <f t="shared" si="73"/>
        <v>46236</v>
      </c>
    </row>
    <row r="48" spans="1:142" s="29" customFormat="1" ht="30" customHeight="1" thickBot="1" x14ac:dyDescent="0.2">
      <c r="A48" s="4"/>
      <c r="B48" s="38" t="s">
        <v>43</v>
      </c>
      <c r="C48" s="39"/>
      <c r="D48" s="55">
        <v>46231</v>
      </c>
      <c r="E48" s="55">
        <v>46233</v>
      </c>
      <c r="F48" s="6"/>
      <c r="G48" s="3"/>
      <c r="H48" s="32"/>
      <c r="I48" s="32"/>
      <c r="J48" s="32"/>
      <c r="K48" s="32"/>
      <c r="L48" s="32"/>
      <c r="M48" s="32"/>
      <c r="N48" s="32"/>
      <c r="O48" s="32"/>
      <c r="P48" s="32"/>
      <c r="Q48" s="32"/>
      <c r="R48" s="32"/>
      <c r="S48" s="32"/>
      <c r="T48" s="35"/>
      <c r="U48" s="35"/>
      <c r="V48" s="32"/>
      <c r="W48" s="32"/>
      <c r="X48" s="32"/>
      <c r="Y48" s="32"/>
      <c r="Z48" s="32"/>
      <c r="AA48" s="32"/>
      <c r="AB48" s="32"/>
      <c r="AC48" s="32"/>
      <c r="AD48" s="32"/>
      <c r="AE48" s="32"/>
      <c r="AF48" s="32"/>
      <c r="AG48" s="32"/>
      <c r="AH48" s="32"/>
      <c r="AI48" s="32"/>
      <c r="AJ48" s="32"/>
      <c r="AK48" s="32"/>
      <c r="AL48" s="32"/>
      <c r="AM48" s="32"/>
      <c r="AN48" s="32"/>
      <c r="AO48" s="32"/>
      <c r="AP48" s="32"/>
      <c r="AQ48" s="32"/>
      <c r="AR48" s="32"/>
      <c r="AS48" s="32"/>
      <c r="AT48" s="32"/>
      <c r="AU48" s="32"/>
      <c r="AV48" s="32"/>
      <c r="AW48" s="32"/>
      <c r="AX48" s="32"/>
      <c r="AY48" s="32"/>
      <c r="AZ48" s="32"/>
      <c r="BA48" s="32"/>
      <c r="BB48" s="32"/>
      <c r="BC48" s="32"/>
      <c r="BD48" s="32"/>
      <c r="BE48" s="32"/>
      <c r="BF48" s="32"/>
      <c r="BG48" s="32"/>
      <c r="BH48" s="32"/>
      <c r="BI48" s="32"/>
      <c r="BJ48" s="32"/>
      <c r="BK48" s="32"/>
      <c r="BL48" s="32"/>
      <c r="BM48" s="32"/>
      <c r="BN48" s="32"/>
      <c r="BO48" s="32"/>
      <c r="BP48" s="32"/>
      <c r="BQ48" s="32"/>
      <c r="BR48" s="32"/>
      <c r="BS48" s="32"/>
      <c r="BT48" s="32"/>
      <c r="BU48" s="32"/>
      <c r="BV48" s="32"/>
      <c r="BW48" s="32"/>
      <c r="BX48" s="32"/>
      <c r="BY48" s="32"/>
      <c r="BZ48" s="32"/>
      <c r="CA48" s="32"/>
      <c r="CB48" s="32"/>
      <c r="CC48" s="32"/>
      <c r="CD48" s="32"/>
      <c r="CE48" s="32"/>
      <c r="CF48" s="32"/>
      <c r="CG48" s="32"/>
      <c r="CH48" s="32"/>
      <c r="CI48" s="32"/>
      <c r="CJ48" s="32"/>
      <c r="CK48" s="32"/>
      <c r="CL48" s="32"/>
      <c r="CM48" s="32"/>
      <c r="CN48" s="32"/>
      <c r="CO48" s="32"/>
      <c r="CP48" s="32"/>
      <c r="CQ48" s="32"/>
      <c r="CR48" s="32"/>
      <c r="CS48" s="32"/>
      <c r="CT48" s="32"/>
      <c r="CU48" s="32"/>
      <c r="CV48" s="32"/>
      <c r="CW48" s="32"/>
      <c r="CX48" s="32"/>
      <c r="CY48" s="32"/>
      <c r="CZ48" s="32"/>
      <c r="DA48" s="32"/>
      <c r="DB48" s="131"/>
      <c r="DC48" s="131"/>
      <c r="DD48" s="131"/>
      <c r="DE48" s="131"/>
      <c r="DF48" s="131"/>
      <c r="DG48" s="131"/>
      <c r="DH48" s="131"/>
      <c r="DI48" s="131"/>
      <c r="DJ48" s="131"/>
      <c r="DK48" s="131"/>
      <c r="DL48" s="131"/>
      <c r="DM48" s="131"/>
      <c r="DN48" s="131"/>
      <c r="DO48" s="132"/>
      <c r="DP48" s="114"/>
      <c r="DQ48" s="32"/>
      <c r="DR48" s="32"/>
      <c r="DS48" s="32"/>
      <c r="DT48" s="32"/>
      <c r="DU48" s="32"/>
      <c r="DV48" s="32"/>
      <c r="DW48" s="32"/>
      <c r="DX48" s="32"/>
      <c r="DY48" s="32"/>
      <c r="DZ48" s="32"/>
      <c r="EA48" s="32"/>
      <c r="EB48" s="32"/>
      <c r="EC48" s="32"/>
      <c r="ED48" s="32"/>
      <c r="EE48" s="32"/>
      <c r="EF48" s="32"/>
      <c r="EG48" s="32"/>
      <c r="EH48" s="32"/>
      <c r="EI48" s="32"/>
      <c r="EJ48" s="32"/>
      <c r="EK48" s="113">
        <f t="shared" si="72"/>
        <v>46233</v>
      </c>
      <c r="EL48" s="113">
        <f t="shared" si="73"/>
        <v>46235</v>
      </c>
    </row>
    <row r="49" spans="1:142" s="29" customFormat="1" ht="30" customHeight="1" thickBot="1" x14ac:dyDescent="0.2">
      <c r="A49" s="4"/>
      <c r="B49" s="38" t="s">
        <v>44</v>
      </c>
      <c r="C49" s="39"/>
      <c r="D49" s="55">
        <v>46234</v>
      </c>
      <c r="E49" s="55">
        <v>46236</v>
      </c>
      <c r="F49" s="6"/>
      <c r="G49" s="3"/>
      <c r="H49" s="32"/>
      <c r="I49" s="32"/>
      <c r="J49" s="32"/>
      <c r="K49" s="32"/>
      <c r="L49" s="32"/>
      <c r="M49" s="32"/>
      <c r="N49" s="32"/>
      <c r="O49" s="32"/>
      <c r="P49" s="32"/>
      <c r="Q49" s="32"/>
      <c r="R49" s="32"/>
      <c r="S49" s="32"/>
      <c r="T49" s="35"/>
      <c r="U49" s="35"/>
      <c r="V49" s="32"/>
      <c r="W49" s="32"/>
      <c r="X49" s="32"/>
      <c r="Y49" s="32"/>
      <c r="Z49" s="32"/>
      <c r="AA49" s="32"/>
      <c r="AB49" s="32"/>
      <c r="AC49" s="32"/>
      <c r="AD49" s="32"/>
      <c r="AE49" s="32"/>
      <c r="AF49" s="32"/>
      <c r="AG49" s="32"/>
      <c r="AH49" s="32"/>
      <c r="AI49" s="32"/>
      <c r="AJ49" s="32"/>
      <c r="AK49" s="32"/>
      <c r="AL49" s="32"/>
      <c r="AM49" s="32"/>
      <c r="AN49" s="32"/>
      <c r="AO49" s="32"/>
      <c r="AP49" s="32"/>
      <c r="AQ49" s="32"/>
      <c r="AR49" s="32"/>
      <c r="AS49" s="32"/>
      <c r="AT49" s="32"/>
      <c r="AU49" s="32"/>
      <c r="AV49" s="32"/>
      <c r="AW49" s="32"/>
      <c r="AX49" s="32"/>
      <c r="AY49" s="32"/>
      <c r="AZ49" s="32"/>
      <c r="BA49" s="32"/>
      <c r="BB49" s="32"/>
      <c r="BC49" s="32"/>
      <c r="BD49" s="32"/>
      <c r="BE49" s="32"/>
      <c r="BF49" s="32"/>
      <c r="BG49" s="32"/>
      <c r="BH49" s="32"/>
      <c r="BI49" s="32"/>
      <c r="BJ49" s="32"/>
      <c r="BK49" s="32"/>
      <c r="BL49" s="32"/>
      <c r="BM49" s="32"/>
      <c r="BN49" s="32"/>
      <c r="BO49" s="32"/>
      <c r="BP49" s="32"/>
      <c r="BQ49" s="32"/>
      <c r="BR49" s="32"/>
      <c r="BS49" s="32"/>
      <c r="BT49" s="32"/>
      <c r="BU49" s="32"/>
      <c r="BV49" s="32"/>
      <c r="BW49" s="32"/>
      <c r="BX49" s="32"/>
      <c r="BY49" s="32"/>
      <c r="BZ49" s="32"/>
      <c r="CA49" s="32"/>
      <c r="CB49" s="32"/>
      <c r="CC49" s="32"/>
      <c r="CD49" s="32"/>
      <c r="CE49" s="32"/>
      <c r="CF49" s="32"/>
      <c r="CG49" s="32"/>
      <c r="CH49" s="32"/>
      <c r="CI49" s="32"/>
      <c r="CJ49" s="32"/>
      <c r="CK49" s="32"/>
      <c r="CL49" s="32"/>
      <c r="CM49" s="32"/>
      <c r="CN49" s="32"/>
      <c r="CO49" s="32"/>
      <c r="CP49" s="32"/>
      <c r="CQ49" s="32"/>
      <c r="CR49" s="32"/>
      <c r="CS49" s="32"/>
      <c r="CT49" s="32"/>
      <c r="CU49" s="32"/>
      <c r="CV49" s="32"/>
      <c r="CW49" s="32"/>
      <c r="CX49" s="32"/>
      <c r="CY49" s="32"/>
      <c r="CZ49" s="32"/>
      <c r="DA49" s="32"/>
      <c r="DB49" s="131"/>
      <c r="DC49" s="131"/>
      <c r="DD49" s="131"/>
      <c r="DE49" s="131"/>
      <c r="DF49" s="131"/>
      <c r="DG49" s="131"/>
      <c r="DH49" s="131"/>
      <c r="DI49" s="131"/>
      <c r="DJ49" s="131"/>
      <c r="DK49" s="131"/>
      <c r="DL49" s="131"/>
      <c r="DM49" s="131"/>
      <c r="DN49" s="131"/>
      <c r="DO49" s="132"/>
      <c r="DP49" s="114"/>
      <c r="DQ49" s="32"/>
      <c r="DR49" s="32"/>
      <c r="DS49" s="32"/>
      <c r="DT49" s="32"/>
      <c r="DU49" s="32"/>
      <c r="DV49" s="32"/>
      <c r="DW49" s="32"/>
      <c r="DX49" s="32"/>
      <c r="DY49" s="32"/>
      <c r="DZ49" s="32"/>
      <c r="EA49" s="32"/>
      <c r="EB49" s="32"/>
      <c r="EC49" s="32"/>
      <c r="ED49" s="32"/>
      <c r="EE49" s="32"/>
      <c r="EF49" s="32"/>
      <c r="EG49" s="32"/>
      <c r="EH49" s="32"/>
      <c r="EI49" s="32"/>
      <c r="EJ49" s="32"/>
      <c r="EK49" s="113">
        <f t="shared" si="72"/>
        <v>46236</v>
      </c>
      <c r="EL49" s="113">
        <f t="shared" si="73"/>
        <v>46238</v>
      </c>
    </row>
    <row r="50" spans="1:142" s="29" customFormat="1" ht="30" customHeight="1" thickBot="1" x14ac:dyDescent="0.2">
      <c r="A50" s="4"/>
      <c r="B50" s="38" t="s">
        <v>51</v>
      </c>
      <c r="C50" s="39"/>
      <c r="D50" s="55">
        <v>46237</v>
      </c>
      <c r="E50" s="55">
        <v>46238</v>
      </c>
      <c r="F50" s="6"/>
      <c r="G50" s="3"/>
      <c r="H50" s="32"/>
      <c r="I50" s="32"/>
      <c r="J50" s="32"/>
      <c r="K50" s="32"/>
      <c r="L50" s="32"/>
      <c r="M50" s="32"/>
      <c r="N50" s="32"/>
      <c r="O50" s="32"/>
      <c r="P50" s="32"/>
      <c r="Q50" s="32"/>
      <c r="R50" s="32"/>
      <c r="S50" s="32"/>
      <c r="T50" s="35"/>
      <c r="U50" s="35"/>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131"/>
      <c r="DC50" s="131"/>
      <c r="DD50" s="131"/>
      <c r="DE50" s="131"/>
      <c r="DF50" s="131"/>
      <c r="DG50" s="131"/>
      <c r="DH50" s="131"/>
      <c r="DI50" s="131"/>
      <c r="DJ50" s="131"/>
      <c r="DK50" s="131"/>
      <c r="DL50" s="131"/>
      <c r="DM50" s="131"/>
      <c r="DN50" s="131"/>
      <c r="DO50" s="132"/>
      <c r="DP50" s="114"/>
      <c r="DQ50" s="32"/>
      <c r="DR50" s="32"/>
      <c r="DS50" s="32"/>
      <c r="DT50" s="32"/>
      <c r="DU50" s="32"/>
      <c r="DV50" s="32"/>
      <c r="DW50" s="32"/>
      <c r="DX50" s="32"/>
      <c r="DY50" s="32"/>
      <c r="DZ50" s="32"/>
      <c r="EA50" s="32"/>
      <c r="EB50" s="32"/>
      <c r="EC50" s="32"/>
      <c r="ED50" s="32"/>
      <c r="EE50" s="32"/>
      <c r="EF50" s="32"/>
      <c r="EG50" s="32"/>
      <c r="EH50" s="32"/>
      <c r="EI50" s="32"/>
      <c r="EJ50" s="32"/>
      <c r="EK50" s="113">
        <f t="shared" si="72"/>
        <v>46239</v>
      </c>
      <c r="EL50" s="113">
        <f t="shared" si="73"/>
        <v>46240</v>
      </c>
    </row>
    <row r="51" spans="1:142" s="29" customFormat="1" ht="30" customHeight="1" thickBot="1" x14ac:dyDescent="0.2">
      <c r="A51" s="4"/>
      <c r="B51" s="38" t="s">
        <v>47</v>
      </c>
      <c r="C51" s="39"/>
      <c r="D51" s="55">
        <v>46239</v>
      </c>
      <c r="E51" s="55">
        <v>46240</v>
      </c>
      <c r="F51" s="6"/>
      <c r="G51" s="3"/>
      <c r="H51" s="32"/>
      <c r="I51" s="32"/>
      <c r="J51" s="32"/>
      <c r="K51" s="32"/>
      <c r="L51" s="32"/>
      <c r="M51" s="32"/>
      <c r="N51" s="32"/>
      <c r="O51" s="32"/>
      <c r="P51" s="32"/>
      <c r="Q51" s="32"/>
      <c r="R51" s="32"/>
      <c r="S51" s="32"/>
      <c r="T51" s="35"/>
      <c r="U51" s="35"/>
      <c r="V51" s="32"/>
      <c r="W51" s="32"/>
      <c r="X51" s="32"/>
      <c r="Y51" s="32"/>
      <c r="Z51" s="32"/>
      <c r="AA51" s="32"/>
      <c r="AB51" s="32"/>
      <c r="AC51" s="32"/>
      <c r="AD51" s="32"/>
      <c r="AE51" s="32"/>
      <c r="AF51" s="32"/>
      <c r="AG51" s="32"/>
      <c r="AH51" s="32"/>
      <c r="AI51" s="32"/>
      <c r="AJ51" s="32"/>
      <c r="AK51" s="32"/>
      <c r="AL51" s="32"/>
      <c r="AM51" s="32"/>
      <c r="AN51" s="32"/>
      <c r="AO51" s="32"/>
      <c r="AP51" s="32"/>
      <c r="AQ51" s="32"/>
      <c r="AR51" s="32"/>
      <c r="AS51" s="32"/>
      <c r="AT51" s="32"/>
      <c r="AU51" s="32"/>
      <c r="AV51" s="32"/>
      <c r="AW51" s="32"/>
      <c r="AX51" s="32"/>
      <c r="AY51" s="32"/>
      <c r="AZ51" s="32"/>
      <c r="BA51" s="32"/>
      <c r="BB51" s="32"/>
      <c r="BC51" s="32"/>
      <c r="BD51" s="32"/>
      <c r="BE51" s="32"/>
      <c r="BF51" s="32"/>
      <c r="BG51" s="32"/>
      <c r="BH51" s="32"/>
      <c r="BI51" s="32"/>
      <c r="BJ51" s="32"/>
      <c r="BK51" s="32"/>
      <c r="BL51" s="32"/>
      <c r="BM51" s="32"/>
      <c r="BN51" s="32"/>
      <c r="BO51" s="32"/>
      <c r="BP51" s="32"/>
      <c r="BQ51" s="32"/>
      <c r="BR51" s="32"/>
      <c r="BS51" s="32"/>
      <c r="BT51" s="32"/>
      <c r="BU51" s="32"/>
      <c r="BV51" s="32"/>
      <c r="BW51" s="32"/>
      <c r="BX51" s="32"/>
      <c r="BY51" s="32"/>
      <c r="BZ51" s="32"/>
      <c r="CA51" s="32"/>
      <c r="CB51" s="32"/>
      <c r="CC51" s="32"/>
      <c r="CD51" s="32"/>
      <c r="CE51" s="32"/>
      <c r="CF51" s="32"/>
      <c r="CG51" s="32"/>
      <c r="CH51" s="32"/>
      <c r="CI51" s="32"/>
      <c r="CJ51" s="32"/>
      <c r="CK51" s="32"/>
      <c r="CL51" s="32"/>
      <c r="CM51" s="32"/>
      <c r="CN51" s="32"/>
      <c r="CO51" s="32"/>
      <c r="CP51" s="32"/>
      <c r="CQ51" s="32"/>
      <c r="CR51" s="32"/>
      <c r="CS51" s="32"/>
      <c r="CT51" s="32"/>
      <c r="CU51" s="32"/>
      <c r="CV51" s="32"/>
      <c r="CW51" s="32"/>
      <c r="CX51" s="32"/>
      <c r="CY51" s="32"/>
      <c r="CZ51" s="32"/>
      <c r="DA51" s="32"/>
      <c r="DB51" s="131"/>
      <c r="DC51" s="131"/>
      <c r="DD51" s="131"/>
      <c r="DE51" s="131"/>
      <c r="DF51" s="131"/>
      <c r="DG51" s="131"/>
      <c r="DH51" s="131"/>
      <c r="DI51" s="131"/>
      <c r="DJ51" s="131"/>
      <c r="DK51" s="131"/>
      <c r="DL51" s="131"/>
      <c r="DM51" s="131"/>
      <c r="DN51" s="131"/>
      <c r="DO51" s="132"/>
      <c r="DP51" s="114"/>
      <c r="DQ51" s="32"/>
      <c r="DR51" s="32"/>
      <c r="DS51" s="32"/>
      <c r="DT51" s="32"/>
      <c r="DU51" s="32"/>
      <c r="DV51" s="32"/>
      <c r="DW51" s="32"/>
      <c r="DX51" s="32"/>
      <c r="DY51" s="32"/>
      <c r="DZ51" s="32"/>
      <c r="EA51" s="32"/>
      <c r="EB51" s="32"/>
      <c r="EC51" s="32"/>
      <c r="ED51" s="32"/>
      <c r="EE51" s="32"/>
      <c r="EF51" s="32"/>
      <c r="EG51" s="32"/>
      <c r="EH51" s="32"/>
      <c r="EI51" s="32"/>
      <c r="EJ51" s="32"/>
      <c r="EK51" s="113">
        <f t="shared" si="72"/>
        <v>46241</v>
      </c>
      <c r="EL51" s="113">
        <f t="shared" si="73"/>
        <v>46242</v>
      </c>
    </row>
    <row r="52" spans="1:142" s="29" customFormat="1" ht="30" customHeight="1" thickBot="1" x14ac:dyDescent="0.2">
      <c r="A52" s="4"/>
      <c r="B52" s="38" t="s">
        <v>48</v>
      </c>
      <c r="C52" s="39"/>
      <c r="D52" s="55">
        <v>46241</v>
      </c>
      <c r="E52" s="55">
        <v>46243</v>
      </c>
      <c r="F52" s="6"/>
      <c r="G52" s="3"/>
      <c r="H52" s="32"/>
      <c r="I52" s="32"/>
      <c r="J52" s="32"/>
      <c r="K52" s="32"/>
      <c r="L52" s="32"/>
      <c r="M52" s="32"/>
      <c r="N52" s="32"/>
      <c r="O52" s="32"/>
      <c r="P52" s="32"/>
      <c r="Q52" s="32"/>
      <c r="R52" s="32"/>
      <c r="S52" s="32"/>
      <c r="T52" s="35"/>
      <c r="U52" s="35"/>
      <c r="V52" s="32"/>
      <c r="W52" s="32"/>
      <c r="X52" s="32"/>
      <c r="Y52" s="32"/>
      <c r="Z52" s="32"/>
      <c r="AA52" s="32"/>
      <c r="AB52" s="32"/>
      <c r="AC52" s="32"/>
      <c r="AD52" s="32"/>
      <c r="AE52" s="32"/>
      <c r="AF52" s="32"/>
      <c r="AG52" s="32"/>
      <c r="AH52" s="32"/>
      <c r="AI52" s="32"/>
      <c r="AJ52" s="32"/>
      <c r="AK52" s="32"/>
      <c r="AL52" s="32"/>
      <c r="AM52" s="32"/>
      <c r="AN52" s="32"/>
      <c r="AO52" s="32"/>
      <c r="AP52" s="32"/>
      <c r="AQ52" s="32"/>
      <c r="AR52" s="32"/>
      <c r="AS52" s="32"/>
      <c r="AT52" s="32"/>
      <c r="AU52" s="32"/>
      <c r="AV52" s="32"/>
      <c r="AW52" s="32"/>
      <c r="AX52" s="32"/>
      <c r="AY52" s="32"/>
      <c r="AZ52" s="32"/>
      <c r="BA52" s="32"/>
      <c r="BB52" s="32"/>
      <c r="BC52" s="32"/>
      <c r="BD52" s="32"/>
      <c r="BE52" s="32"/>
      <c r="BF52" s="32"/>
      <c r="BG52" s="32"/>
      <c r="BH52" s="32"/>
      <c r="BI52" s="32"/>
      <c r="BJ52" s="32"/>
      <c r="BK52" s="32"/>
      <c r="BL52" s="32"/>
      <c r="BM52" s="32"/>
      <c r="BN52" s="32"/>
      <c r="BO52" s="32"/>
      <c r="BP52" s="32"/>
      <c r="BQ52" s="32"/>
      <c r="BR52" s="32"/>
      <c r="BS52" s="32"/>
      <c r="BT52" s="32"/>
      <c r="BU52" s="32"/>
      <c r="BV52" s="32"/>
      <c r="BW52" s="32"/>
      <c r="BX52" s="32"/>
      <c r="BY52" s="32"/>
      <c r="BZ52" s="32"/>
      <c r="CA52" s="32"/>
      <c r="CB52" s="32"/>
      <c r="CC52" s="32"/>
      <c r="CD52" s="32"/>
      <c r="CE52" s="32"/>
      <c r="CF52" s="32"/>
      <c r="CG52" s="32"/>
      <c r="CH52" s="32"/>
      <c r="CI52" s="32"/>
      <c r="CJ52" s="32"/>
      <c r="CK52" s="32"/>
      <c r="CL52" s="32"/>
      <c r="CM52" s="32"/>
      <c r="CN52" s="32"/>
      <c r="CO52" s="32"/>
      <c r="CP52" s="32"/>
      <c r="CQ52" s="32"/>
      <c r="CR52" s="32"/>
      <c r="CS52" s="32"/>
      <c r="CT52" s="32"/>
      <c r="CU52" s="32"/>
      <c r="CV52" s="32"/>
      <c r="CW52" s="32"/>
      <c r="CX52" s="32"/>
      <c r="CY52" s="32"/>
      <c r="CZ52" s="32"/>
      <c r="DA52" s="32"/>
      <c r="DB52" s="131"/>
      <c r="DC52" s="131"/>
      <c r="DD52" s="131"/>
      <c r="DE52" s="131"/>
      <c r="DF52" s="131"/>
      <c r="DG52" s="131"/>
      <c r="DH52" s="131"/>
      <c r="DI52" s="131"/>
      <c r="DJ52" s="131"/>
      <c r="DK52" s="131"/>
      <c r="DL52" s="131"/>
      <c r="DM52" s="131"/>
      <c r="DN52" s="131"/>
      <c r="DO52" s="132"/>
      <c r="DP52" s="114"/>
      <c r="DQ52" s="32"/>
      <c r="DR52" s="32"/>
      <c r="DS52" s="32"/>
      <c r="DT52" s="32"/>
      <c r="DU52" s="32"/>
      <c r="DV52" s="32"/>
      <c r="DW52" s="32"/>
      <c r="DX52" s="32"/>
      <c r="DY52" s="32"/>
      <c r="DZ52" s="32"/>
      <c r="EA52" s="32"/>
      <c r="EB52" s="32"/>
      <c r="EC52" s="32"/>
      <c r="ED52" s="32"/>
      <c r="EE52" s="32"/>
      <c r="EF52" s="32"/>
      <c r="EG52" s="32"/>
      <c r="EH52" s="32"/>
      <c r="EI52" s="32"/>
      <c r="EJ52" s="32"/>
      <c r="EK52" s="113">
        <f t="shared" si="72"/>
        <v>46243</v>
      </c>
      <c r="EL52" s="113">
        <f t="shared" si="73"/>
        <v>46245</v>
      </c>
    </row>
    <row r="53" spans="1:142" s="29" customFormat="1" ht="33" customHeight="1" thickBot="1" x14ac:dyDescent="0.2">
      <c r="A53" s="4"/>
      <c r="B53" s="108" t="s">
        <v>50</v>
      </c>
      <c r="C53" s="106"/>
      <c r="D53" s="107">
        <v>46258</v>
      </c>
      <c r="E53" s="107">
        <v>46275</v>
      </c>
      <c r="F53" s="6"/>
      <c r="G53" s="3"/>
      <c r="H53" s="32"/>
      <c r="I53" s="32"/>
      <c r="J53" s="32"/>
      <c r="K53" s="32"/>
      <c r="L53" s="32"/>
      <c r="M53" s="32"/>
      <c r="N53" s="32"/>
      <c r="O53" s="32"/>
      <c r="P53" s="32"/>
      <c r="Q53" s="32"/>
      <c r="R53" s="32"/>
      <c r="S53" s="32"/>
      <c r="T53" s="32"/>
      <c r="U53" s="32"/>
      <c r="V53" s="32"/>
      <c r="W53" s="32"/>
      <c r="X53" s="32"/>
      <c r="Y53" s="32"/>
      <c r="Z53" s="32"/>
      <c r="AA53" s="32"/>
      <c r="AB53" s="32"/>
      <c r="AC53" s="32"/>
      <c r="AD53" s="32"/>
      <c r="AE53" s="32"/>
      <c r="AF53" s="32"/>
      <c r="AG53" s="32"/>
      <c r="AH53" s="32"/>
      <c r="AI53" s="32"/>
      <c r="AJ53" s="32"/>
      <c r="AK53" s="32"/>
      <c r="AL53" s="32"/>
      <c r="AM53" s="32"/>
      <c r="AN53" s="32"/>
      <c r="AO53" s="32"/>
      <c r="AP53" s="32"/>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c r="CY53" s="32"/>
      <c r="CZ53" s="32"/>
      <c r="DA53" s="32"/>
      <c r="DB53" s="131"/>
      <c r="DC53" s="131"/>
      <c r="DD53" s="131"/>
      <c r="DE53" s="131"/>
      <c r="DF53" s="131"/>
      <c r="DG53" s="131"/>
      <c r="DH53" s="131"/>
      <c r="DI53" s="131"/>
      <c r="DJ53" s="131"/>
      <c r="DK53" s="131"/>
      <c r="DL53" s="131"/>
      <c r="DM53" s="131"/>
      <c r="DN53" s="131"/>
      <c r="DO53" s="132"/>
      <c r="DP53" s="114"/>
      <c r="DQ53" s="32"/>
      <c r="DR53" s="32"/>
      <c r="DS53" s="32"/>
      <c r="DT53" s="32"/>
      <c r="DU53" s="32"/>
      <c r="DV53" s="32"/>
      <c r="DW53" s="32"/>
      <c r="DX53" s="32"/>
      <c r="DY53" s="32"/>
      <c r="DZ53" s="32"/>
      <c r="EA53" s="32"/>
      <c r="EB53" s="32"/>
      <c r="EC53" s="32"/>
      <c r="ED53" s="32"/>
      <c r="EE53" s="32"/>
      <c r="EF53" s="32"/>
      <c r="EG53" s="32"/>
      <c r="EH53" s="32"/>
      <c r="EI53" s="32"/>
      <c r="EJ53" s="32"/>
    </row>
    <row r="54" spans="1:142" s="29" customFormat="1" ht="33" customHeight="1" thickBot="1" x14ac:dyDescent="0.2">
      <c r="A54" s="4"/>
      <c r="B54" s="109" t="s">
        <v>52</v>
      </c>
      <c r="C54" s="110"/>
      <c r="D54" s="111">
        <v>46276</v>
      </c>
      <c r="E54" s="111">
        <v>46276</v>
      </c>
      <c r="F54" s="6"/>
      <c r="G54" s="3"/>
      <c r="H54" s="32"/>
      <c r="I54" s="32"/>
      <c r="J54" s="32"/>
      <c r="K54" s="32"/>
      <c r="L54" s="32"/>
      <c r="M54" s="32"/>
      <c r="N54" s="32"/>
      <c r="O54" s="32"/>
      <c r="P54" s="32"/>
      <c r="Q54" s="32"/>
      <c r="R54" s="32"/>
      <c r="S54" s="32"/>
      <c r="T54" s="32"/>
      <c r="U54" s="32"/>
      <c r="V54" s="32"/>
      <c r="W54" s="32"/>
      <c r="X54" s="32"/>
      <c r="Y54" s="32"/>
      <c r="Z54" s="32"/>
      <c r="AA54" s="32"/>
      <c r="AB54" s="32"/>
      <c r="AC54" s="32"/>
      <c r="AD54" s="32"/>
      <c r="AE54" s="32"/>
      <c r="AF54" s="32"/>
      <c r="AG54" s="32"/>
      <c r="AH54" s="32"/>
      <c r="AI54" s="32"/>
      <c r="AJ54" s="32"/>
      <c r="AK54" s="32"/>
      <c r="AL54" s="32"/>
      <c r="AM54" s="32"/>
      <c r="AN54" s="32"/>
      <c r="AO54" s="32"/>
      <c r="AP54" s="32"/>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c r="CY54" s="32"/>
      <c r="CZ54" s="32"/>
      <c r="DA54" s="32"/>
      <c r="DB54" s="131"/>
      <c r="DC54" s="131"/>
      <c r="DD54" s="131"/>
      <c r="DE54" s="131"/>
      <c r="DF54" s="131"/>
      <c r="DG54" s="131"/>
      <c r="DH54" s="131"/>
      <c r="DI54" s="131"/>
      <c r="DJ54" s="131"/>
      <c r="DK54" s="131"/>
      <c r="DL54" s="131"/>
      <c r="DM54" s="131"/>
      <c r="DN54" s="131"/>
      <c r="DO54" s="132"/>
      <c r="DP54" s="114"/>
      <c r="DQ54" s="32"/>
      <c r="DR54" s="32"/>
      <c r="DS54" s="32"/>
      <c r="DT54" s="32"/>
      <c r="DU54" s="32"/>
      <c r="DV54" s="32"/>
      <c r="DW54" s="32"/>
      <c r="DX54" s="32"/>
      <c r="DY54" s="32"/>
      <c r="DZ54" s="32"/>
      <c r="EA54" s="32"/>
      <c r="EB54" s="32"/>
      <c r="EC54" s="32"/>
      <c r="ED54" s="32"/>
      <c r="EE54" s="32"/>
      <c r="EF54" s="32"/>
      <c r="EG54" s="32"/>
      <c r="EH54" s="32"/>
      <c r="EI54" s="32"/>
      <c r="EJ54" s="32"/>
    </row>
    <row r="55" spans="1:142" ht="30" customHeight="1" x14ac:dyDescent="0.2">
      <c r="DF55" s="115"/>
    </row>
  </sheetData>
  <mergeCells count="15">
    <mergeCell ref="P2:Y2"/>
    <mergeCell ref="P1:Y1"/>
    <mergeCell ref="H1:N1"/>
    <mergeCell ref="H2:N2"/>
    <mergeCell ref="DB9:DO54"/>
    <mergeCell ref="H4:AI4"/>
    <mergeCell ref="AJ4:BM4"/>
    <mergeCell ref="BN4:CR4"/>
    <mergeCell ref="CS4:DW4"/>
    <mergeCell ref="A5:A6"/>
    <mergeCell ref="B5:B6"/>
    <mergeCell ref="C5:C6"/>
    <mergeCell ref="D5:D6"/>
    <mergeCell ref="DX4:EJ4"/>
    <mergeCell ref="E5:E6"/>
  </mergeCells>
  <conditionalFormatting sqref="C7:C54">
    <cfRule type="dataBar" priority="61">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H9:DA16 DP9:EB16 ED9:EI16 H41:DA44 DP41:EB44 ED41:EI44">
    <cfRule type="expression" dxfId="26" priority="45" stopIfTrue="1">
      <formula>AND(task_end&gt;=H$5,task_start&lt;I$5)</formula>
    </cfRule>
  </conditionalFormatting>
  <conditionalFormatting sqref="H9:DA16 DP9:EJ16 H41:DA44 DP41:EJ44">
    <cfRule type="expression" dxfId="25" priority="44">
      <formula>AND(task_start&lt;=H$5,ROUNDDOWN((task_end-task_start+1)*task_progress,0)+task_start-1&gt;=H$5)</formula>
    </cfRule>
  </conditionalFormatting>
  <conditionalFormatting sqref="H18:DA20 DP18:EB20 ED18:EI20 H46:DA52 DP46:EB52 ED46:EI52">
    <cfRule type="expression" dxfId="24" priority="43" stopIfTrue="1">
      <formula>AND(task_end&gt;=H$5,task_start&lt;I$5)</formula>
    </cfRule>
  </conditionalFormatting>
  <conditionalFormatting sqref="H18:DA20 DP18:EJ20 H46:DA52 DP46:EJ52">
    <cfRule type="expression" dxfId="23" priority="42">
      <formula>AND(task_start&lt;=H$5,ROUNDDOWN((task_end-task_start+1)*task_progress,0)+task_start-1&gt;=H$5)</formula>
    </cfRule>
  </conditionalFormatting>
  <conditionalFormatting sqref="H22:DA23 DP22:EB23 ED22:EI23">
    <cfRule type="expression" dxfId="22" priority="41" stopIfTrue="1">
      <formula>AND(task_end&gt;=H$5,task_start&lt;I$5)</formula>
    </cfRule>
  </conditionalFormatting>
  <conditionalFormatting sqref="H22:DA23 DP22:EJ23">
    <cfRule type="expression" dxfId="21" priority="40">
      <formula>AND(task_start&lt;=H$5,ROUNDDOWN((task_end-task_start+1)*task_progress,0)+task_start-1&gt;=H$5)</formula>
    </cfRule>
  </conditionalFormatting>
  <conditionalFormatting sqref="H25:DA28 DP25:EB28 ED25:EI28">
    <cfRule type="expression" dxfId="20" priority="75" stopIfTrue="1">
      <formula>AND(task_end&gt;=H$5,task_start&lt;I$5)</formula>
    </cfRule>
  </conditionalFormatting>
  <conditionalFormatting sqref="H25:DA28 DP25:EJ28">
    <cfRule type="expression" dxfId="19" priority="74">
      <formula>AND(task_start&lt;=H$5,ROUNDDOWN((task_end-task_start+1)*task_progress,0)+task_start-1&gt;=H$5)</formula>
    </cfRule>
  </conditionalFormatting>
  <conditionalFormatting sqref="H30:DA33 DP30:EB33 ED30:EI33">
    <cfRule type="expression" dxfId="18" priority="36" stopIfTrue="1">
      <formula>AND(task_end&gt;=H$5,task_start&lt;I$5)</formula>
    </cfRule>
  </conditionalFormatting>
  <conditionalFormatting sqref="H30:DA33 DP30:EJ33">
    <cfRule type="expression" dxfId="17" priority="35">
      <formula>AND(task_start&lt;=H$5,ROUNDDOWN((task_end-task_start+1)*task_progress,0)+task_start-1&gt;=H$5)</formula>
    </cfRule>
  </conditionalFormatting>
  <conditionalFormatting sqref="H35:DA39 DP35:EB39 ED35:EI39">
    <cfRule type="expression" dxfId="16" priority="31" stopIfTrue="1">
      <formula>AND(task_end&gt;=H$5,task_start&lt;I$5)</formula>
    </cfRule>
  </conditionalFormatting>
  <conditionalFormatting sqref="H35:DA39 DP35:EJ39">
    <cfRule type="expression" dxfId="15" priority="30">
      <formula>AND(task_start&lt;=H$5,ROUNDDOWN((task_end-task_start+1)*task_progress,0)+task_start-1&gt;=H$5)</formula>
    </cfRule>
  </conditionalFormatting>
  <conditionalFormatting sqref="H53:DA53 DP53:EI53">
    <cfRule type="expression" dxfId="14" priority="7" stopIfTrue="1">
      <formula>AND(task_end&gt;=H$5,task_start&lt;I$5)</formula>
    </cfRule>
  </conditionalFormatting>
  <conditionalFormatting sqref="H53:DA54 DP53:EJ54">
    <cfRule type="expression" dxfId="13" priority="3">
      <formula>AND(task_start&lt;=H$5,ROUNDDOWN((task_end-task_start+1)*task_progress,0)+task_start-1&gt;=H$5)</formula>
    </cfRule>
  </conditionalFormatting>
  <conditionalFormatting sqref="H54:DA54 DP54:EB54 ED54:EI54">
    <cfRule type="expression" dxfId="12" priority="4" stopIfTrue="1">
      <formula>AND(task_end&gt;=H$5,task_start&lt;I$5)</formula>
    </cfRule>
  </conditionalFormatting>
  <conditionalFormatting sqref="DB9">
    <cfRule type="expression" dxfId="11" priority="156" stopIfTrue="1">
      <formula>AND(task_end&gt;=DF$5,task_start&lt;DG$5)</formula>
    </cfRule>
    <cfRule type="expression" dxfId="10" priority="152">
      <formula>AND(TODAY()&gt;=DF$5, TODAY()&lt;DG$5)</formula>
    </cfRule>
    <cfRule type="expression" dxfId="9" priority="155">
      <formula>AND(task_start&lt;=DF$5,ROUNDDOWN((task_end-task_start+1)*task_progress,0)+task_start-1&gt;=DF$5)</formula>
    </cfRule>
  </conditionalFormatting>
  <conditionalFormatting sqref="EC9:EC16 EJ9:EJ16 EC41:EC44 EJ41:EJ44">
    <cfRule type="expression" dxfId="8" priority="81" stopIfTrue="1">
      <formula>AND(task_end&gt;=EC$5,task_start&lt;#REF!)</formula>
    </cfRule>
  </conditionalFormatting>
  <conditionalFormatting sqref="EC18:EC20 EJ18:EJ20 EC46:EC52 EJ46:EJ52">
    <cfRule type="expression" dxfId="7" priority="85" stopIfTrue="1">
      <formula>AND(task_end&gt;=EC$5,task_start&lt;#REF!)</formula>
    </cfRule>
  </conditionalFormatting>
  <conditionalFormatting sqref="EC22:EC23 EJ22:EJ23">
    <cfRule type="expression" dxfId="6" priority="89" stopIfTrue="1">
      <formula>AND(task_end&gt;=EC$5,task_start&lt;#REF!)</formula>
    </cfRule>
  </conditionalFormatting>
  <conditionalFormatting sqref="EC25:EC28 EJ25:EJ28">
    <cfRule type="expression" dxfId="5" priority="93" stopIfTrue="1">
      <formula>AND(task_end&gt;=EC$5,task_start&lt;#REF!)</formula>
    </cfRule>
  </conditionalFormatting>
  <conditionalFormatting sqref="EC30:EC33 EJ30:EJ33">
    <cfRule type="expression" dxfId="4" priority="117" stopIfTrue="1">
      <formula>AND(task_end&gt;=EC$5,task_start&lt;#REF!)</formula>
    </cfRule>
  </conditionalFormatting>
  <conditionalFormatting sqref="EC35:EC39 EJ35:EJ39">
    <cfRule type="expression" dxfId="3" priority="123" stopIfTrue="1">
      <formula>AND(task_end&gt;=EC$5,task_start&lt;#REF!)</formula>
    </cfRule>
  </conditionalFormatting>
  <conditionalFormatting sqref="EC53">
    <cfRule type="expression" dxfId="2" priority="1">
      <formula>AND(TODAY()&gt;=EC$5, TODAY()&lt;ED$5)</formula>
    </cfRule>
  </conditionalFormatting>
  <conditionalFormatting sqref="EC54 EJ54">
    <cfRule type="expression" dxfId="1" priority="150" stopIfTrue="1">
      <formula>AND(task_end&gt;=EC$5,task_start&lt;#REF!)</formula>
    </cfRule>
  </conditionalFormatting>
  <conditionalFormatting sqref="EJ53">
    <cfRule type="expression" dxfId="0" priority="141" stopIfTrue="1">
      <formula>AND(task_end&gt;=EJ$5,task_start&lt;#REF!)</formula>
    </cfRule>
  </conditionalFormatting>
  <dataValidations count="12">
    <dataValidation type="whole" operator="greaterThanOrEqual" allowBlank="1" showInputMessage="1" promptTitle="Display Week" prompt="Changing this number will scroll the Gantt Chart view." sqref="P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A40"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A10 A41"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1 A42"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7 A45" xr:uid="{4F48FC41-E335-47F1-87AA-3333A52AD81C}"/>
    <dataValidation allowBlank="1" showInputMessage="1" showErrorMessage="1" prompt="Phase 3's sample block starts in cell B20." sqref="A21" xr:uid="{956902D1-D3B5-416D-BB69-9362D193BC0A}"/>
    <dataValidation allowBlank="1" showInputMessage="1" showErrorMessage="1" prompt="Phase 4's sample block starts in cell B26." sqref="A24 A29 A34" xr:uid="{DE54E5DE-526D-4D71-8D03-E99B4AB2FEE5}"/>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C7:C54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Macintosh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Project schedule</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Will McKenna</dc:creator>
  <dc:description/>
  <cp:lastModifiedBy>Will McKenna</cp:lastModifiedBy>
  <dcterms:created xsi:type="dcterms:W3CDTF">2022-03-11T22:41:12Z</dcterms:created>
  <dcterms:modified xsi:type="dcterms:W3CDTF">2026-07-28T21:13:41Z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